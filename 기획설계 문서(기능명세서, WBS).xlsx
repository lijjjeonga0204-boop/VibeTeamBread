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F0FF9367-A33D-4C6D-B88F-5F1E0DBD3F8D}" xr6:coauthVersionLast="47" xr6:coauthVersionMax="47" xr10:uidLastSave="{00000000-0000-0000-0000-000000000000}"/>
  <bookViews>
    <workbookView xWindow="21015" yWindow="2505" windowWidth="13890" windowHeight="15345" tabRatio="500" firstSheet="3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6" l="1"/>
  <c r="H18" i="6"/>
  <c r="H17" i="6"/>
  <c r="H16" i="6"/>
  <c r="H15" i="6"/>
  <c r="H14" i="6"/>
  <c r="H12" i="6"/>
  <c r="H11" i="6"/>
  <c r="H10" i="6"/>
  <c r="H9" i="6"/>
  <c r="H8" i="6"/>
  <c r="H7" i="6"/>
  <c r="H6" i="6"/>
  <c r="H5" i="6"/>
  <c r="G14" i="4"/>
  <c r="G13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<sst xmlns="http://schemas.openxmlformats.org/spreadsheetml/2006/main" count="546" uniqueCount="411">
  <si>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</si>
  <si>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</si>
  <si>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</si>
  <si>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</si>
  <si>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</si>
  <si>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</si>
  <si>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</si>
  <si>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</si>
  <si>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</si>
  <si>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</si>
  <si>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</si>
  <si>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</si>
  <si>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</si>
  <si>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</si>
  <si>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</si>
  <si>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</si>
  <si>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</si>
  <si>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</si>
  <si>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</si>
  <si>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</si>
  <si>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</si>
  <si>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</si>
  <si>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</si>
  <si>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</si>
  <si>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</si>
  <si>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</si>
  <si>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</si>
  <si>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</si>
  <si>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</si>
  <si>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</si>
  <si>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</si>
  <si>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</si>
  <si>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</si>
  <si>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</si>
  <si>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</si>
  <si>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</si>
  <si>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</si>
  <si>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</si>
  <si>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</si>
  <si>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</si>
  <si>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</si>
  <si>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</si>
  <si>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</si>
  <si>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</si>
  <si>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</si>
  <si>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</si>
  <si>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</si>
  <si>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</si>
  <si>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</si>
  <si>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</si>
  <si>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</si>
  <si>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</si>
  <si>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</si>
  <si>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</si>
  <si>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</si>
  <si>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</si>
  <si>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</si>
  <si>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</si>
  <si>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</si>
  <si>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</si>
  <si>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</si>
  <si>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</si>
  <si>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</si>
  <si>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</si>
  <si>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</si>
  <si>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</si>
  <si>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</si>
  <si>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</si>
  <si>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</si>
  <si>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</si>
  <si>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</si>
  <si>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</si>
  <si>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</si>
  <si>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</si>
  <si>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</si>
  <si>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</si>
  <si>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</si>
  <si>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</si>
  <si>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</si>
  <si>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</si>
  <si>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</si>
  <si>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</si>
  <si>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</si>
  <si>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</si>
  <si>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</si>
  <si>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</si>
  <si>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</si>
  <si>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</si>
  <si>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</si>
  <si>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</si>
  <si>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</si>
  <si>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</si>
  <si>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</si>
  <si>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</si>
  <si>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</si>
  <si>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</si>
  <si>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</si>
  <si>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</si>
  <si>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</si>
  <si>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</si>
  <si>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</si>
  <si>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</si>
  <si>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</si>
  <si>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</si>
  <si>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</si>
  <si>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</si>
  <si>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</si>
  <si>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</si>
  <si>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</si>
  <si>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</si>
  <si>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</si>
  <si>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</si>
  <si>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</si>
  <si>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</si>
  <si>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</si>
  <si>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</si>
  <si>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</si>
  <si>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</si>
  <si>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</si>
  <si>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</si>
  <si>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</si>
  <si>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</si>
  <si>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</si>
  <si>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</si>
  <si>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</si>
  <si>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</si>
  <si>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</si>
  <si>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</si>
  <si>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</si>
  <si>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</si>
  <si>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</si>
  <si>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</si>
  <si>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</si>
  <si>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</si>
  <si>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</si>
  <si>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</si>
  <si>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</si>
  <si>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</si>
  <si>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</si>
  <si>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</si>
  <si>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</si>
  <si>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</si>
  <si>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</si>
  <si>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</si>
  <si>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</si>
  <si>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</si>
  <si>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</si>
  <si>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</si>
  <si>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</si>
  <si>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대상 권역 선정</t>
  </si>
  <si>
    <t>제공된 5개 권역 중 1개 권역을 선정하여 서비스 구현</t>
  </si>
  <si>
    <t>II-2</t>
  </si>
  <si>
    <t>권역 명칭이 본문과 화면 예시에서 다르므로 정확한 명칭과 데이터 폴더 기준 확인 필요</t>
  </si>
  <si>
    <t>제공 JSON 활용</t>
  </si>
  <si>
    <t>고객사가 사전 수집·가공한 JSON 데이터를 프론트엔드에서 직접 불러와 처리</t>
  </si>
  <si>
    <t>II-2, III-제공 데이터 가</t>
  </si>
  <si>
    <t>데이터 스키마를 가장 먼저 분석하고, 누락값·좌표·날짜 형식 등을 공통 형태로 정규화해야 함</t>
  </si>
  <si>
    <t>지역정보 서비스</t>
  </si>
  <si>
    <t>선정 권역의 관광지, 문화시설, 축제, 여행 코스, 레포츠, 숙박, 쇼핑 등의 정보 제공</t>
  </si>
  <si>
    <t>참고 3</t>
  </si>
  <si>
    <t>실제 제공 JSON에 모든 데이터 유형이 존재하는지 확인 필요</t>
  </si>
  <si>
    <t>익명 커뮤니티</t>
  </si>
  <si>
    <t>별도 회원가입과 로그인 없이 익명 커뮤니티 구현</t>
  </si>
  <si>
    <t>III-커뮤니티 가</t>
  </si>
  <si>
    <t>인증 기능을 추가하면 오히려 RFP 범위를 벗어날 수 있음</t>
  </si>
  <si>
    <t>권한 체계 미적용</t>
  </si>
  <si>
    <t>사용자 인증 및 일반적인 서버 권한 체계를 적용하지 않음</t>
  </si>
  <si>
    <t>교육용 설계로 한정해야 하며 실제 서비스 보안 방식으로 설명하면 안 됨</t>
  </si>
  <si>
    <t>게시글 목록 조회</t>
  </si>
  <si>
    <t>선정 권역 게시판의 게시글 목록 조회 구현</t>
  </si>
  <si>
    <t>III-커뮤니티 다</t>
  </si>
  <si>
    <t>정렬 기준, 빈 목록, 페이지네이션 처리 기준 필요</t>
  </si>
  <si>
    <t>게시글 상세 조회</t>
  </si>
  <si>
    <t>게시글 제목·내용·작성일 등의 상세 조회 구현</t>
  </si>
  <si>
    <t>III-커뮤니티 다, 참고 4-③</t>
  </si>
  <si>
    <t>목록에서 상세 화면으로 이동하는 라우팅 필요</t>
  </si>
  <si>
    <t>게시글 작성</t>
  </si>
  <si>
    <t>제목·내용·수정용 비밀번호를 입력하여 게시글 작성</t>
  </si>
  <si>
    <t>III-커뮤니티 나·다, 참고 4-④</t>
  </si>
  <si>
    <t>제목·내용·비밀번호의 필수값 및 글자 수 검증 필요</t>
  </si>
  <si>
    <t>게시글 수정</t>
  </si>
  <si>
    <t>저장된 비밀번호와 입력 비밀번호가 일치할 경우 게시글 수정</t>
  </si>
  <si>
    <t>III-커뮤니티 나·다</t>
  </si>
  <si>
    <t>잘못된 비밀번호 입력 시 오류 안내 필요</t>
  </si>
  <si>
    <t>게시글 삭제</t>
  </si>
  <si>
    <t>저장된 비밀번호와 입력 비밀번호가 일치할 경우 게시글 삭제</t>
  </si>
  <si>
    <t>삭제 전 재확인 모달을 추가하는 것이 안전함</t>
  </si>
  <si>
    <t>localStorage 저장</t>
  </si>
  <si>
    <t>게시글과 수정용 비밀번호를 브라우저 localStorage에 저장</t>
  </si>
  <si>
    <t>III-커뮤니티 나</t>
  </si>
  <si>
    <t>브라우저별·기기별 데이터가 분리된다는 점을 시연과 발표에서 명확히 밝혀야 함</t>
  </si>
  <si>
    <t>Vue 컴포넌트 구성</t>
  </si>
  <si>
    <t>게시판 CRUD 기능을 Vue.js 컴포넌트로 구현</t>
  </si>
  <si>
    <t>게시판 목록·상세·작성·수정·비밀번호 모달을 분리하는 것이 적절함</t>
  </si>
  <si>
    <t>챗봇 데이터 기반 응답</t>
  </si>
  <si>
    <t>제공 JSON을 바탕으로 자연어 지역정보 질의응답 처리</t>
  </si>
  <si>
    <t>III-챗봇 가</t>
  </si>
  <si>
    <t>JSON 전체를 그대로 프롬프트에 넣으면 토큰 비용과 응답 지연이 커질 수 있으므로 사전 검색·필터링 필요</t>
  </si>
  <si>
    <t>OpenAI API 연동</t>
  </si>
  <si>
    <t>Vue 3 프론트엔드에서 OpenAI API를 직접 호출</t>
  </si>
  <si>
    <t>FastAPI를 경유하는 구조가 아님. 질문에 정리된 “챗봇 FastAPI 구현”과 충돌</t>
  </si>
  <si>
    <t>주요 질의 유형 대응</t>
  </si>
  <si>
    <t>관광지 추천, 축제 일정, 모범음식점 위치, 커뮤니티 게시글 검색 등의 질문에 응답</t>
  </si>
  <si>
    <t>III-챗봇 나</t>
  </si>
  <si>
    <t>제공 데이터에 모범음식점 필드가 없을 가능성이 있으므로 실제 데이터 확인 필요</t>
  </si>
  <si>
    <t>채팅 히스토리</t>
  </si>
  <si>
    <t>사용자와 챗봇의 대화 내역을 UI에 유지</t>
  </si>
  <si>
    <t>III-챗봇 다</t>
  </si>
  <si>
    <t>새로고침 후까지 유지할지는 명시되지 않았으므로 세션 내 유지로 최소 구현 가능</t>
  </si>
  <si>
    <t>반응형 채팅 UI</t>
  </si>
  <si>
    <t>모바일에 대응하고 플로팅 버튼 형태로 동작하는 채팅 UI 구현</t>
  </si>
  <si>
    <t>III-챗봇 다, 참고 4-⑤</t>
  </si>
  <si>
    <t>모바일에서는 전체 화면으로 표시하도록 예시가 제시됨</t>
  </si>
  <si>
    <t>Vue.js 3 사용</t>
  </si>
  <si>
    <t>프론트엔드 프레임워크로 Vue.js 3 사용</t>
  </si>
  <si>
    <t>III-프론트엔드 가</t>
  </si>
  <si>
    <t>Vue 2 또는 React 사용은 요구사항 위반</t>
  </si>
  <si>
    <t>SPA 구성</t>
  </si>
  <si>
    <t>단일 페이지 애플리케이션 구조로 개발</t>
  </si>
  <si>
    <t>II-2, III-프론트엔드 가</t>
  </si>
  <si>
    <t>Vue Router 사용이 적절하며 Netlify 새로고침 라우팅 설정 필요</t>
  </si>
  <si>
    <t>Netlify 배포</t>
  </si>
  <si>
    <t>프론트엔드 서비스를 Netlify에 배포</t>
  </si>
  <si>
    <t>III-배포 가</t>
  </si>
  <si>
    <t>GitLab 저장소 연동 가능 여부와 Netlify 빌드 환경변수 등록 필요</t>
  </si>
  <si>
    <t>배포 URL 확인</t>
  </si>
  <si>
    <t>외부에서 접속 가능한 배포 URL의 정상 동작을 확인하고 산출물에 기재</t>
  </si>
  <si>
    <t>III-배포 나, 참고 1</t>
  </si>
  <si>
    <t>제출 직전 시크릿 모드와 모바일 환경에서 재검증 필요</t>
  </si>
  <si>
    <t>선택 기능 최소 1개</t>
  </si>
  <si>
    <t>필수 기능 완료 후 선택 기능을 최소 1개 이상 구현</t>
  </si>
  <si>
    <t>참고 2</t>
  </si>
  <si>
    <t>“선택 기능”의 종류는 선택이지만, 최소 1개를 구현하는 것 자체는 필수</t>
  </si>
  <si>
    <t>활용 데이터 목록</t>
  </si>
  <si>
    <t>사용한 데이터의 출처·라이선스·수집일을 기능 명세서에 별도 정리</t>
  </si>
  <si>
    <t>III-제공 데이터 다</t>
  </si>
  <si>
    <t>고객사 제공 JSON도 출처가 확인되는 범위에서 함께 기록하는 것이 안전함</t>
  </si>
  <si>
    <t>소스코드 제출</t>
  </si>
  <si>
    <t>Vue.js 프론트엔드 Git Repository URL 제출</t>
  </si>
  <si>
    <t>참고 1</t>
  </si>
  <si>
    <r>
      <t xml:space="preserve">저장소 실행 방법과 환경변수 예시 파일 </t>
    </r>
    <r>
      <rPr>
        <sz val="10"/>
        <color theme="1"/>
        <rFont val="Arial Unicode MS"/>
        <family val="2"/>
      </rPr>
      <t>.env.example</t>
    </r>
    <r>
      <rPr>
        <sz val="11"/>
        <color theme="1"/>
        <rFont val="Calibri"/>
        <family val="2"/>
        <charset val="1"/>
      </rPr>
      <t xml:space="preserve"> 제공 권장</t>
    </r>
  </si>
  <si>
    <t>기능 명세서 제출</t>
  </si>
  <si>
    <t>PDF 또는 DOCX 형식으로 기능 명세서 제출</t>
  </si>
  <si>
    <t>기능별 화면, 입력값, 처리 로직, 예외 조건, 데이터 출처 포함 필요</t>
  </si>
  <si>
    <t>WBS 제출</t>
  </si>
  <si>
    <t>문서 또는 스프레드시트 형식의 WBS 제출</t>
  </si>
  <si>
    <t>담당자·일정·진척도·산출물을 기준으로 구성</t>
  </si>
  <si>
    <t>발표 자료 제출</t>
  </si>
  <si>
    <t>PPT 또는 PDF 형식의 발표 자료 제출</t>
  </si>
  <si>
    <t>문제 정의보다 요구사항 충족 여부와 실제 시연 흐름 중심이 적절함</t>
  </si>
  <si>
    <t>기술 검토 및 일정 초안</t>
  </si>
  <si>
    <t>다음 미팅 시 기술 검토 의견과 개발 일정 초안을 지참</t>
  </si>
  <si>
    <t>V-6</t>
  </si>
  <si>
    <t>구현 전에 아키텍처·역할 분담·리스크를 정리해야 함</t>
  </si>
  <si>
    <t>지도 시각화</t>
  </si>
  <si>
    <t>Leaflet.js, Kakao Maps 등을 이용해 관광지·맛집 위치를 지도 핀으로 표시하고 권역 필터 제공</t>
  </si>
  <si>
    <t>좌표 데이터가 이미 있다면 가장 구현 효과가 크고 발표 시 시각적 전달력이 좋음</t>
  </si>
  <si>
    <t>데이터 시각화 대시보드</t>
  </si>
  <si>
    <t>Chart.js, D3.js 등으로 게시글 현황이나 인기 지역 통계 시각화</t>
  </si>
  <si>
    <t>localStorage 게시글만으로는 사용자별 데이터가 달라 통계 의미가 제한적임</t>
  </si>
  <si>
    <t>축제 캘린더</t>
  </si>
  <si>
    <t>권역별 축제 일정을 달력 형태로 표시</t>
  </si>
  <si>
    <t>축제 시작일·종료일 데이터가 정리되어 있다면 구현 난도가 비교적 낮음</t>
  </si>
  <si>
    <t>경로 안내</t>
  </si>
  <si>
    <t>날씨 정보 연동</t>
  </si>
  <si>
    <t>실시간 알림</t>
  </si>
  <si>
    <t>일정 주기로 localStorage를 확인하여 새 게시글 알림 표시</t>
  </si>
  <si>
    <t>동일 브라우저 내 데이터만 감지하므로 엄밀한 의미의 실시간·다중 사용자 알림은 아님</t>
  </si>
  <si>
    <t>다국어 지원</t>
  </si>
  <si>
    <t>소셜 공유 연동</t>
  </si>
  <si>
    <t>조회수</t>
  </si>
  <si>
    <t>게시글 조회 횟수 표시</t>
  </si>
  <si>
    <t>동일 사용자의 반복 조회를 모두 포함할지 정의 필요</t>
  </si>
  <si>
    <t>게시글 검색</t>
  </si>
  <si>
    <t>제목·내용을 기준으로 게시글 검색</t>
  </si>
  <si>
    <t>챗봇의 게시글 검색 질의와도 연계 가능하므로 추천도가 높음</t>
  </si>
  <si>
    <t>북마크</t>
  </si>
  <si>
    <t>관심 게시글 저장 기능</t>
  </si>
  <si>
    <t>localStorage에 별도 북마크 ID 목록을 저장하는 방식으로 간단히 구현 가능</t>
  </si>
  <si>
    <t>제약</t>
  </si>
  <si>
    <t>백엔드 서버 금지 구조</t>
  </si>
  <si>
    <r>
      <t>별도 백엔드 서버 없이</t>
    </r>
    <r>
      <rPr>
        <sz val="11"/>
        <color theme="1"/>
        <rFont val="Calibri"/>
        <family val="2"/>
        <charset val="1"/>
      </rPr>
      <t xml:space="preserve"> Vue.js 3 기반 정적 SPA로 개발</t>
    </r>
  </si>
  <si>
    <t>FastAPI·SQLite를 사용하는 구조는 원문과 정면으로 충돌함</t>
  </si>
  <si>
    <t>JSON 직접 처리</t>
  </si>
  <si>
    <t>제공 JSON을 프론트엔드에서 직접 불러와 처리하며 직접 공공 API 호출은 불필요</t>
  </si>
  <si>
    <t>데이터 가공이 복잡해도 서버 전처리를 전제로 설계하면 안 됨</t>
  </si>
  <si>
    <t>추가 데이터 라이선스 확인</t>
  </si>
  <si>
    <r>
      <t xml:space="preserve">추가 데이터를 수집할 경우 </t>
    </r>
    <r>
      <rPr>
        <b/>
        <sz val="11"/>
        <color theme="1"/>
        <rFont val="Calibri"/>
        <family val="2"/>
      </rPr>
      <t>반드시</t>
    </r>
    <r>
      <rPr>
        <sz val="11"/>
        <color theme="1"/>
        <rFont val="Calibri"/>
        <family val="2"/>
        <charset val="1"/>
      </rPr>
      <t xml:space="preserve"> 라이선스와 공공누리 유형을 사전 확인</t>
    </r>
  </si>
  <si>
    <t>II-2, III-제공 데이터 나</t>
  </si>
  <si>
    <t>출처 URL, 이용 조건, 변경·상업 이용 가능 여부까지 증빙 필요</t>
  </si>
  <si>
    <t>추가 데이터 사용 가능성 검토</t>
  </si>
  <si>
    <t>추가 데이터는 상업적·서비스 활용 가능 여부를 검토한 뒤 사용</t>
  </si>
  <si>
    <t>III-제공 데이터 나</t>
  </si>
  <si>
    <t>사용 조건이 불분명한 데이터는 제외하는 것이 안전함</t>
  </si>
  <si>
    <t>외부 서비스 비용 제한</t>
  </si>
  <si>
    <r>
      <t xml:space="preserve">외부 서비스 비용은 제공 키 범위에서 운영하며 정해진 예산을 </t>
    </r>
    <r>
      <rPr>
        <b/>
        <sz val="11"/>
        <color theme="1"/>
        <rFont val="Calibri"/>
        <family val="2"/>
      </rPr>
      <t>초과할 수 없음</t>
    </r>
  </si>
  <si>
    <t>OpenAI·지도·날씨 API 호출량 제한과 캐싱 전략 필요</t>
  </si>
  <si>
    <t>로그인·회원가입 제외</t>
  </si>
  <si>
    <t>별도 회원가입·로그인 없이 구현하며 인증·권한 체계는 적용하지 않음</t>
  </si>
  <si>
    <t>일반적인 회원별 게시글 관리 기능은 범위 외</t>
  </si>
  <si>
    <t>localStorage 한정 저장</t>
  </si>
  <si>
    <t>게시글은 작성한 브라우저와 기기에만 저장되며 다른 사용자에게 공유되지 않음</t>
  </si>
  <si>
    <t>프로젝트 명칭인 “공유 커뮤니티”와 실제 동작이 충돌하는 핵심 리스크</t>
  </si>
  <si>
    <t>비밀번호 평문 저장</t>
  </si>
  <si>
    <t>서버가 없으므로 비밀번호를 암호화하지 않고 브라우저에 저장·비교</t>
  </si>
  <si>
    <t>교육 목적의 의도된 설계임을 발표에서 명시해야 하며 보안성이 있다고 표현하면 안 됨</t>
  </si>
  <si>
    <t>API 키 저장 방식</t>
  </si>
  <si>
    <r>
      <t xml:space="preserve">OpenAI API 키를 </t>
    </r>
    <r>
      <rPr>
        <sz val="10"/>
        <color theme="1"/>
        <rFont val="Arial Unicode MS"/>
        <family val="2"/>
      </rPr>
      <t>.env</t>
    </r>
    <r>
      <rPr>
        <sz val="11"/>
        <color theme="1"/>
        <rFont val="Calibri"/>
        <family val="2"/>
        <charset val="1"/>
      </rPr>
      <t xml:space="preserve">에서 </t>
    </r>
    <r>
      <rPr>
        <sz val="10"/>
        <color theme="1"/>
        <rFont val="Arial Unicode MS"/>
        <family val="2"/>
      </rPr>
      <t>VITE_</t>
    </r>
    <r>
      <rPr>
        <sz val="11"/>
        <color theme="1"/>
        <rFont val="Calibri"/>
        <family val="2"/>
        <charset val="1"/>
      </rPr>
      <t xml:space="preserve"> 접두사로 관리</t>
    </r>
  </si>
  <si>
    <t>Vite 환경변수는 비밀 저장 수단이 아니며 빌드 결과에서 노출될 수 있음</t>
  </si>
  <si>
    <t>사용량 제한 키</t>
  </si>
  <si>
    <r>
      <t xml:space="preserve">API 키 노출 가능성 때문에 </t>
    </r>
    <r>
      <rPr>
        <b/>
        <sz val="11"/>
        <color theme="1"/>
        <rFont val="Calibri"/>
        <family val="2"/>
      </rPr>
      <t>반드시 사용량 제한이 걸린 키만 사용</t>
    </r>
  </si>
  <si>
    <t>키별 일일·월간 제한과 모델별 최대 토큰을 낮게 설정해야 함</t>
  </si>
  <si>
    <t>결제 한도 제한</t>
  </si>
  <si>
    <t>OpenAI API의 결제 한도를 낮게 설정</t>
  </si>
  <si>
    <t>프롬프트 반복 전송이나 무한 호출을 막는 UI 방어 로직 필요</t>
  </si>
  <si>
    <t>허용 AI 도구 제한</t>
  </si>
  <si>
    <t>VSCode Copilot + OpenAI API KEY 조합의 사용만 허용</t>
  </si>
  <si>
    <t>III-개발 환경 가</t>
  </si>
  <si>
    <t>사용 도구 기록과 Git 커밋 이력을 관리하는 것이 안전함</t>
  </si>
  <si>
    <t>기타 AI 코딩 도구 금지</t>
  </si>
  <si>
    <r>
      <t xml:space="preserve">Claude Code, Codex, Cursor, Antigravity 등은 </t>
    </r>
    <r>
      <rPr>
        <b/>
        <sz val="11"/>
        <color theme="1"/>
        <rFont val="Calibri"/>
        <family val="2"/>
      </rPr>
      <t>사용 불가</t>
    </r>
  </si>
  <si>
    <t>III-개발 환경 나</t>
  </si>
  <si>
    <t>팀원이 개인적으로 사용하는 것도 위반으로 해석될 수 있으므로 전원 공지 필요</t>
  </si>
  <si>
    <t>위반 시 처리</t>
  </si>
  <si>
    <t>AI 도구 정책 위반 발견 시 계약 조건에 따라 처리</t>
  </si>
  <si>
    <t>교육 프로젝트라도 평가상 감점·미완료 가능성이 있으므로 가장 강한 통제 항목</t>
  </si>
  <si>
    <t>Netlify 고정</t>
  </si>
  <si>
    <t>배포 서비스는 Netlify로 지정</t>
  </si>
  <si>
    <t>Vercel, GitHub Pages 등 다른 서비스만 제출하면 요구사항 불충족 가능</t>
  </si>
  <si>
    <r>
      <t>.env</t>
    </r>
    <r>
      <rPr>
        <sz val="11"/>
        <color theme="1"/>
        <rFont val="Calibri"/>
        <family val="2"/>
        <charset val="1"/>
      </rPr>
      <t xml:space="preserve"> 제출 금지</t>
    </r>
  </si>
  <si>
    <r>
      <t xml:space="preserve">저장소에 </t>
    </r>
    <r>
      <rPr>
        <sz val="10"/>
        <color theme="1"/>
        <rFont val="Arial Unicode MS"/>
        <family val="2"/>
      </rPr>
      <t>.env</t>
    </r>
    <r>
      <rPr>
        <sz val="11"/>
        <color theme="1"/>
        <rFont val="Calibri"/>
        <family val="2"/>
        <charset val="1"/>
      </rPr>
      <t xml:space="preserve"> 파일이 포함되지 않았는지 확인 </t>
    </r>
    <r>
      <rPr>
        <b/>
        <sz val="11"/>
        <color theme="1"/>
        <rFont val="Calibri"/>
        <family val="2"/>
      </rPr>
      <t>필수</t>
    </r>
  </si>
  <si>
    <r>
      <t>.gitignore</t>
    </r>
    <r>
      <rPr>
        <sz val="11"/>
        <color theme="1"/>
        <rFont val="Calibri"/>
        <family val="2"/>
        <charset val="1"/>
      </rPr>
      <t xml:space="preserve"> 등록과 Git 이력 내 키 포함 여부까지 확인 필요</t>
    </r>
  </si>
  <si>
    <t>전체 산출물 제출</t>
  </si>
  <si>
    <r>
      <t xml:space="preserve">납기일까지 산출물 전체 제출이 필요하며 항목 누락 시 </t>
    </r>
    <r>
      <rPr>
        <b/>
        <sz val="11"/>
        <color theme="1"/>
        <rFont val="Calibri"/>
        <family val="2"/>
      </rPr>
      <t>미완료 처리</t>
    </r>
  </si>
  <si>
    <t>기능 완성도보다 산출물 한 개 누락이 더 치명적일 수 있음</t>
  </si>
  <si>
    <t>납기</t>
  </si>
  <si>
    <t>2026년 7월 16일 목요일 오후 3시까지 제출</t>
  </si>
  <si>
    <t>II-3, 참고 1</t>
  </si>
  <si>
    <t>문서에는 요일이 목요일로 기재되어 있으나 실제 달력상 날짜·요일 일치 여부는 제출 시스템 공지를 최종 기준으로 재확인 필요</t>
  </si>
  <si>
    <t>제출처</t>
  </si>
  <si>
    <t>결과물, 발표 자료, 지정 산출물을 SSAFY GitLab에 제출</t>
  </si>
  <si>
    <t>II-3</t>
  </si>
  <si>
    <t>Netlify URL만 제출하고 GitLab에 자료를 누락하지 않도록 체크리스트 필요</t>
  </si>
  <si>
    <t>선택 기능 데이터 관리</t>
  </si>
  <si>
    <t>선택 기능에서 추가 데이터를 사용하면 라이선스 확인 및 기능 명세서 기재 필요</t>
  </si>
  <si>
    <t>참고 2, 참고 3</t>
  </si>
  <si>
    <t>날씨·지도·경로 기능을 선택할 때 특히 중요</t>
  </si>
  <si>
    <t>WebSocket 제외</t>
  </si>
  <si>
    <t>별도 서버가 필요하므로 실시간 알림에서 WebSocket은 제외</t>
  </si>
  <si>
    <t>polling 역시 같은 브라우저의 localStorage만 확인 가능</t>
  </si>
  <si>
    <t>착수 후 요구사항 변경 제한</t>
  </si>
  <si>
    <t>개발 착수 이후 기능 요구사항 변경은 없으며, 기능 추가와 범위 변경은 원칙적으로 수용하지 않음</t>
  </si>
  <si>
    <t>II-3, V-5</t>
  </si>
  <si>
    <t>착수 전에 MVP와 선택 기능 범위를 확정하고 동결해야 함</t>
  </si>
  <si>
    <t>예산·일정 내 제안</t>
  </si>
  <si>
    <t>제안한 범위 안에서 일정을 구성해야 함</t>
  </si>
  <si>
    <t>과도한 선택 기능 제안은 스스로 납품 범위를 늘리는 결과가 됨</t>
  </si>
  <si>
    <t>실제 UI 조정 가능</t>
  </si>
  <si>
    <t>제시된 화면은 예시 와이어프레임이며 실제 세부 UI는 조정 가능</t>
  </si>
  <si>
    <t>참고 4</t>
  </si>
  <si>
    <t>화면 형태는 바꿀 수 있지만 필수 화면과 기능 흐름은 유지해야 함</t>
  </si>
  <si>
    <t>Must</t>
  </si>
  <si>
    <t>Should</t>
    <phoneticPr fontId="17" type="noConversion"/>
  </si>
  <si>
    <t>Could</t>
    <phoneticPr fontId="17" type="noConversion"/>
  </si>
  <si>
    <t>Leaflet.js/Kakao Maps로 관광지.맛집 핀 시각화 및 권역 필터</t>
  </si>
  <si>
    <t>Chart.js/D3.js로 권역별 게시글 현황, 인기 지역 통계</t>
  </si>
  <si>
    <t>FullCalendar 등으로 권역별 축제 일정 캘린더 시각화</t>
  </si>
  <si>
    <t>복수 관광지.맛집 선택 후 이동 경로 지도 시각화</t>
  </si>
  <si>
    <t>외부 날씨 API 연동, 권역별 현재 날씨.여행 적합도 표시</t>
  </si>
  <si>
    <t>WebSocket(새로고침 없이 실시간으로 데이터를 주고받는 통신 방식) 기반 새 게시글 실시간 알림/접속자 현황</t>
  </si>
  <si>
    <t>i18n(여러 나라 언어를 지원하게 만드는 기술) 활용 한/영 전환 및 다국어 콘텐츠</t>
  </si>
  <si>
    <t>카카오톡.링크 복사 공유 및 OG 태그(공유했을 때 미리보기를 예쁘게 보여주는 설정) 메타데이터</t>
  </si>
  <si>
    <r>
      <rPr>
        <sz val="10"/>
        <color rgb="FF222222"/>
        <rFont val="맑은 고딕"/>
        <family val="3"/>
        <charset val="129"/>
      </rPr>
      <t>조회수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표시</t>
    </r>
    <r>
      <rPr>
        <sz val="10"/>
        <color rgb="FF222222"/>
        <rFont val="Noto Sans CJK SC"/>
        <family val="3"/>
      </rPr>
      <t xml:space="preserve">, </t>
    </r>
    <r>
      <rPr>
        <sz val="10"/>
        <color rgb="FF222222"/>
        <rFont val="맑은 고딕"/>
        <family val="3"/>
        <charset val="129"/>
      </rPr>
      <t>게시글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검색</t>
    </r>
    <r>
      <rPr>
        <sz val="10"/>
        <color rgb="FF222222"/>
        <rFont val="Noto Sans CJK SC"/>
        <family val="3"/>
      </rPr>
      <t xml:space="preserve">, </t>
    </r>
    <r>
      <rPr>
        <sz val="10"/>
        <color rgb="FF222222"/>
        <rFont val="맑은 고딕"/>
        <family val="3"/>
        <charset val="129"/>
      </rPr>
      <t>북마크</t>
    </r>
    <r>
      <rPr>
        <sz val="10"/>
        <color rgb="FF222222"/>
        <rFont val="Noto Sans CJK SC"/>
        <family val="3"/>
      </rPr>
      <t xml:space="preserve">, </t>
    </r>
    <r>
      <rPr>
        <sz val="10"/>
        <color rgb="FF222222"/>
        <rFont val="맑은 고딕"/>
        <family val="3"/>
        <charset val="129"/>
      </rPr>
      <t>좋아요</t>
    </r>
    <r>
      <rPr>
        <sz val="10"/>
        <color rgb="FF222222"/>
        <rFont val="Noto Sans CJK SC"/>
        <family val="3"/>
      </rPr>
      <t xml:space="preserve">, </t>
    </r>
    <r>
      <rPr>
        <sz val="10"/>
        <color rgb="FF222222"/>
        <rFont val="맑은 고딕"/>
        <family val="3"/>
        <charset val="129"/>
      </rPr>
      <t>이미지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첨부</t>
    </r>
    <r>
      <rPr>
        <sz val="10"/>
        <color rgb="FF222222"/>
        <rFont val="Noto Sans CJK SC"/>
        <family val="3"/>
      </rPr>
      <t xml:space="preserve">, </t>
    </r>
    <r>
      <rPr>
        <sz val="10"/>
        <color rgb="FF222222"/>
        <rFont val="맑은 고딕"/>
        <family val="3"/>
        <charset val="129"/>
      </rPr>
      <t>태그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기능</t>
    </r>
    <phoneticPr fontId="17" type="noConversion"/>
  </si>
  <si>
    <t>선정</t>
  </si>
  <si>
    <t>보류</t>
  </si>
  <si>
    <t>제외</t>
  </si>
  <si>
    <r>
      <rPr>
        <b/>
        <sz val="10"/>
        <color rgb="FF222222"/>
        <rFont val="맑은 고딕"/>
        <family val="3"/>
        <charset val="129"/>
      </rPr>
      <t>커뮤니티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게시판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추가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기능</t>
    </r>
    <phoneticPr fontId="17" type="noConversion"/>
  </si>
  <si>
    <r>
      <rPr>
        <sz val="11"/>
        <color theme="1"/>
        <rFont val="맑은 고딕"/>
        <family val="2"/>
        <charset val="129"/>
      </rPr>
      <t>지도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시각화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2"/>
        <charset val="129"/>
      </rPr>
      <t>순위</t>
    </r>
    <r>
      <rPr>
        <sz val="11"/>
        <color theme="1"/>
        <rFont val="Calibri"/>
        <family val="2"/>
        <charset val="1"/>
      </rPr>
      <t xml:space="preserve">)
</t>
    </r>
    <r>
      <rPr>
        <sz val="11"/>
        <color theme="1"/>
        <rFont val="맑은 고딕"/>
        <family val="2"/>
        <charset val="129"/>
      </rPr>
      <t>축제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캘린더</t>
    </r>
    <r>
      <rPr>
        <sz val="11"/>
        <color theme="1"/>
        <rFont val="Calibri"/>
        <family val="2"/>
        <charset val="1"/>
      </rPr>
      <t xml:space="preserve"> / </t>
    </r>
    <r>
      <rPr>
        <sz val="11"/>
        <color theme="1"/>
        <rFont val="맑은 고딕"/>
        <family val="2"/>
        <charset val="129"/>
      </rPr>
      <t>커뮤니티</t>
    </r>
    <r>
      <rPr>
        <sz val="11"/>
        <color theme="1"/>
        <rFont val="맑은 고딕"/>
        <family val="3"/>
        <charset val="129"/>
      </rPr>
      <t xml:space="preserve"> 게시판 추가 기능
- 개발기간 3일 내 완성 가능성을 최우선으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맑은 고딕"/>
        <family val="2"/>
        <charset val="129"/>
      </rPr>
      <t>판단</t>
    </r>
    <phoneticPr fontId="17" type="noConversion"/>
  </si>
  <si>
    <t>대전/충청</t>
    <phoneticPr fontId="17" type="noConversion"/>
  </si>
  <si>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주민과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관광객이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공공데이터에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흩어진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한곳에서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확인하고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2"/>
        <charset val="129"/>
      </rPr>
      <t>익명으로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관련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기록할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있는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채널이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부족함</t>
    </r>
    <phoneticPr fontId="17" type="noConversion"/>
  </si>
  <si>
    <r>
      <rPr>
        <sz val="10"/>
        <color rgb="FF222222"/>
        <rFont val="돋움"/>
        <family val="2"/>
        <charset val="129"/>
      </rPr>
      <t>선정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권역을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방문하는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관광객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주민</t>
    </r>
    <r>
      <rPr>
        <sz val="10"/>
        <color rgb="FF222222"/>
        <rFont val="Noto Sans CJK SC"/>
        <family val="2"/>
      </rPr>
      <t xml:space="preserve">
</t>
    </r>
    <r>
      <rPr>
        <sz val="10"/>
        <color rgb="FF222222"/>
        <rFont val="돋움"/>
        <family val="2"/>
        <charset val="129"/>
      </rPr>
      <t>회원가입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부담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없이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탐색하고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게시판과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챗봇을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이용하려는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사용자</t>
    </r>
    <phoneticPr fontId="17" type="noConversion"/>
  </si>
  <si>
    <r>
      <rPr>
        <sz val="10"/>
        <color rgb="FF222222"/>
        <rFont val="돋움"/>
        <family val="2"/>
        <charset val="129"/>
      </rPr>
      <t>납기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내</t>
    </r>
    <r>
      <rPr>
        <sz val="10"/>
        <color rgb="FF222222"/>
        <rFont val="Noto Sans CJK SC"/>
        <family val="2"/>
      </rPr>
      <t xml:space="preserve"> RFP </t>
    </r>
    <r>
      <rPr>
        <sz val="10"/>
        <color rgb="FF222222"/>
        <rFont val="돋움"/>
        <family val="2"/>
        <charset val="129"/>
      </rPr>
      <t>필수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Noto Sans CJK SC"/>
        <family val="2"/>
      </rPr>
      <t xml:space="preserve">
</t>
    </r>
    <r>
      <rPr>
        <sz val="10"/>
        <color rgb="FF222222"/>
        <rFont val="돋움"/>
        <family val="2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기능인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r>
      <rPr>
        <sz val="10"/>
        <color rgb="FF222222"/>
        <rFont val="Noto Sans CJK SC"/>
        <family val="2"/>
      </rPr>
      <t xml:space="preserve"> 1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이상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Noto Sans CJK SC"/>
        <family val="2"/>
      </rPr>
      <t xml:space="preserve">
Netlify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2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동작</t>
    </r>
    <r>
      <rPr>
        <sz val="10"/>
        <color rgb="FF222222"/>
        <rFont val="Noto Sans CJK SC"/>
        <family val="2"/>
      </rPr>
      <t xml:space="preserve">
</t>
    </r>
    <r>
      <rPr>
        <sz val="10"/>
        <color rgb="FF222222"/>
        <rFont val="돋움"/>
        <family val="2"/>
        <charset val="129"/>
      </rPr>
      <t>필수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산출물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전체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제출</t>
    </r>
    <phoneticPr fontId="17" type="noConversion"/>
  </si>
  <si>
    <t>선정 1개 권역 카테고리 게시판 CRUD (목록/상세/작성/수정/삭제, 비밀번호 기반 권한)</t>
  </si>
  <si>
    <t>챗봇 API(POST /api/chat) 및 채팅 UI (대화 히스토리 유지, 모바일 대응, 플로팅)</t>
  </si>
  <si>
    <r>
      <t>FE(</t>
    </r>
    <r>
      <rPr>
        <sz val="10"/>
        <color rgb="FF222222"/>
        <rFont val="맑은 고딕"/>
        <family val="3"/>
        <charset val="129"/>
      </rPr>
      <t>화면</t>
    </r>
    <r>
      <rPr>
        <sz val="10"/>
        <color rgb="FF222222"/>
        <rFont val="Arial"/>
        <family val="2"/>
      </rPr>
      <t>): Vue.js 3 SPA(</t>
    </r>
    <r>
      <rPr>
        <sz val="10"/>
        <color rgb="FF222222"/>
        <rFont val="맑은 고딕"/>
        <family val="3"/>
        <charset val="129"/>
      </rPr>
      <t>새로고침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화면전환</t>
    </r>
    <r>
      <rPr>
        <sz val="10"/>
        <color rgb="FF222222"/>
        <rFont val="Arial"/>
        <family val="2"/>
      </rPr>
      <t>) / BE(</t>
    </r>
    <r>
      <rPr>
        <sz val="10"/>
        <color rgb="FF222222"/>
        <rFont val="맑은 고딕"/>
        <family val="3"/>
        <charset val="129"/>
      </rPr>
      <t>서버</t>
    </r>
    <r>
      <rPr>
        <sz val="10"/>
        <color rgb="FF222222"/>
        <rFont val="Arial"/>
        <family val="2"/>
      </rPr>
      <t xml:space="preserve">): FastAPI + SQLAlchemy(DB </t>
    </r>
    <r>
      <rPr>
        <sz val="10"/>
        <color rgb="FF222222"/>
        <rFont val="맑은 고딕"/>
        <family val="3"/>
        <charset val="129"/>
      </rPr>
      <t>연결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도구</t>
    </r>
    <r>
      <rPr>
        <sz val="10"/>
        <color rgb="FF222222"/>
        <rFont val="Arial"/>
        <family val="2"/>
      </rPr>
      <t>) + SQLite(</t>
    </r>
    <r>
      <rPr>
        <sz val="10"/>
        <color rgb="FF222222"/>
        <rFont val="맑은 고딕"/>
        <family val="3"/>
        <charset val="129"/>
      </rPr>
      <t>가벼운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데이터베이스</t>
    </r>
    <r>
      <rPr>
        <sz val="10"/>
        <color rgb="FF222222"/>
        <rFont val="Arial"/>
        <family val="2"/>
      </rPr>
      <t>)</t>
    </r>
    <phoneticPr fontId="17" type="noConversion"/>
  </si>
  <si>
    <t>Netlify(FE 배포 서비스).Render(BE 배포 서비스)로 배포 및 URL 동작 확인</t>
  </si>
  <si>
    <t>기능명세서(데이터 출처.라이선스 목록 포함) 및 WBS 문서</t>
  </si>
  <si>
    <t>축제 캘린더 - 축제 일정을 FullCalendar 등을 이용해 달력 형태로 표시</t>
    <phoneticPr fontId="17" type="noConversion"/>
  </si>
  <si>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 xml:space="preserve">대시보드 - </t>
    </r>
    <r>
      <rPr>
        <sz val="10"/>
        <color rgb="FF222222"/>
        <rFont val="Noto Sans CJK SC"/>
        <family val="2"/>
      </rPr>
      <t>Chart.js</t>
    </r>
    <r>
      <rPr>
        <sz val="10"/>
        <color rgb="FF222222"/>
        <rFont val="돋움"/>
        <family val="2"/>
        <charset val="129"/>
      </rPr>
      <t>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카테고리별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건수나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월별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축제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수를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phoneticPr fontId="17" type="noConversion"/>
  </si>
  <si>
    <t>회원가입/로그인, 소셜 인증 등 사용자 계정 체계</t>
  </si>
  <si>
    <t>선정하지 않은 나머지 4개 권역 데이터 및 기능</t>
  </si>
  <si>
    <r>
      <rPr>
        <sz val="10"/>
        <color rgb="FF222222"/>
        <rFont val="돋움"/>
        <family val="2"/>
        <charset val="129"/>
      </rPr>
      <t>선정하지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않은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나머지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선택기능</t>
    </r>
    <phoneticPr fontId="17" type="noConversion"/>
  </si>
  <si>
    <t>요구사항 분석 및 확정</t>
  </si>
  <si>
    <t>권역 선정 및 MVP 정의</t>
  </si>
  <si>
    <t>팀전체</t>
  </si>
  <si>
    <t>FE 기본 레이아웃/라우팅</t>
  </si>
  <si>
    <t>예정</t>
  </si>
  <si>
    <t>챗봇 API 개발</t>
  </si>
  <si>
    <t>챗봇 UI 위젯 개발</t>
  </si>
  <si>
    <t>Netlify/Render 배포 설정</t>
  </si>
  <si>
    <t>통합 테스트 및 버그 수정</t>
  </si>
  <si>
    <t>기능명세서.데이터출처 정리</t>
  </si>
  <si>
    <t>발표 PPT 제작 및 리허설</t>
  </si>
  <si>
    <t>완료</t>
  </si>
  <si>
    <r>
      <rPr>
        <sz val="10"/>
        <color rgb="FF222222"/>
        <rFont val="맑은 고딕"/>
        <family val="3"/>
        <charset val="129"/>
      </rPr>
      <t>지도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시각화</t>
    </r>
    <r>
      <rPr>
        <sz val="10"/>
        <color rgb="FF222222"/>
        <rFont val="Arial"/>
        <family val="2"/>
      </rPr>
      <t xml:space="preserve"> - Kakao Maps API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권역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관광지</t>
    </r>
    <r>
      <rPr>
        <sz val="10"/>
        <color rgb="FF222222"/>
        <rFont val="Arial"/>
        <family val="2"/>
      </rPr>
      <t>.</t>
    </r>
    <r>
      <rPr>
        <sz val="10"/>
        <color rgb="FF222222"/>
        <rFont val="맑은 고딕"/>
        <family val="3"/>
        <charset val="129"/>
      </rPr>
      <t>맛집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위치를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지도에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마커로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표시</t>
    </r>
    <r>
      <rPr>
        <sz val="10"/>
        <color rgb="FF222222"/>
        <rFont val="Noto Sans CJK SC"/>
        <family val="2"/>
      </rPr>
      <t>(최우선사항)</t>
    </r>
    <phoneticPr fontId="17" type="noConversion"/>
  </si>
  <si>
    <r>
      <t xml:space="preserve">LocalHub WBS + </t>
    </r>
    <r>
      <rPr>
        <b/>
        <sz val="15"/>
        <color rgb="FFFFFFFF"/>
        <rFont val="맑은 고딕"/>
        <family val="3"/>
        <charset val="129"/>
      </rPr>
      <t>간트차트</t>
    </r>
    <r>
      <rPr>
        <b/>
        <sz val="15"/>
        <color rgb="FFFFFFFF"/>
        <rFont val="Arial"/>
        <family val="2"/>
      </rPr>
      <t xml:space="preserve"> (Day 1~Day 3 </t>
    </r>
    <r>
      <rPr>
        <b/>
        <sz val="15"/>
        <color rgb="FFFFFFFF"/>
        <rFont val="맑은 고딕"/>
        <family val="3"/>
        <charset val="129"/>
      </rPr>
      <t>기준</t>
    </r>
    <r>
      <rPr>
        <b/>
        <sz val="15"/>
        <color rgb="FFFFFFFF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</si>
  <si>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2"/>
        <charset val="129"/>
      </rPr>
      <t>제공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localStorage </t>
    </r>
    <r>
      <rPr>
        <sz val="10"/>
        <color rgb="FF222222"/>
        <rFont val="맑은 고딕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구조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설계</t>
    </r>
    <phoneticPr fontId="17" type="noConversion"/>
  </si>
  <si>
    <r>
      <rPr>
        <sz val="10"/>
        <color rgb="FF222222"/>
        <rFont val="맑은 고딕"/>
        <family val="2"/>
        <charset val="129"/>
      </rPr>
      <t>컴포넌트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서비스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구조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흐름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설계</t>
    </r>
    <phoneticPr fontId="17" type="noConversion"/>
  </si>
  <si>
    <r>
      <t xml:space="preserve">localStorage </t>
    </r>
    <r>
      <rPr>
        <sz val="10"/>
        <color rgb="FF222222"/>
        <rFont val="맑은 고딕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게시판</t>
    </r>
    <r>
      <rPr>
        <sz val="10"/>
        <color rgb="FF222222"/>
        <rFont val="Arial"/>
        <family val="2"/>
      </rPr>
      <t xml:space="preserve"> CRUD </t>
    </r>
    <r>
      <rPr>
        <sz val="10"/>
        <color rgb="FF222222"/>
        <rFont val="맑은 고딕"/>
        <family val="2"/>
        <charset val="129"/>
      </rPr>
      <t>로직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개발</t>
    </r>
    <phoneticPr fontId="17" type="noConversion"/>
  </si>
  <si>
    <r>
      <rPr>
        <sz val="10"/>
        <color rgb="FF222222"/>
        <rFont val="맑은 고딕"/>
        <family val="2"/>
        <charset val="129"/>
      </rPr>
      <t>지도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시각화</t>
    </r>
    <phoneticPr fontId="17" type="noConversion"/>
  </si>
  <si>
    <t>캘린더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</si>
</sst>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1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charset val="129"/>
    </font>
    <font>
      <b/>
      <sz val="11"/>
      <color theme="1"/>
      <name val="Calibri"/>
      <family val="2"/>
    </font>
    <font>
      <sz val="10"/>
      <color theme="1"/>
      <name val="Arial Unicode MS"/>
      <family val="2"/>
    </font>
    <font>
      <sz val="11"/>
      <color theme="1"/>
      <name val="맑은 고딕"/>
      <family val="3"/>
      <charset val="129"/>
    </font>
    <font>
      <sz val="10"/>
      <color rgb="FF222222"/>
      <name val="Noto Sans CJK SC"/>
      <family val="3"/>
    </font>
    <font>
      <sz val="10"/>
      <color rgb="FF222222"/>
      <name val="돋움"/>
      <family val="2"/>
      <charset val="129"/>
    </font>
    <font>
      <sz val="10"/>
      <name val="Arial"/>
      <family val="2"/>
    </font>
    <font>
      <b/>
      <sz val="15"/>
      <color rgb="FFFFFFFF"/>
      <name val="맑은 고딕"/>
      <family val="3"/>
      <charset val="129"/>
    </font>
    <font>
      <sz val="10"/>
      <color rgb="FF222222"/>
      <name val="Arial"/>
      <family val="2"/>
      <charset val="129"/>
    </font>
    <font>
      <sz val="10"/>
      <color rgb="FF222222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40" fillId="0" borderId="0" xfId="0" applyFont="1"/>
    <xf numFmtId="0" fontId="0" fillId="0" borderId="0" xfId="0"/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0" fillId="0" borderId="0" xfId="0"/>
    <xf numFmtId="0" fontId="0" fillId="0" borderId="0" xfId="0" applyAlignment="1">
      <alignment vertical="center" wrapText="1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22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 wrapText="1"/>
    </xf>
    <xf numFmtId="0" fontId="41" fillId="0" borderId="4" xfId="0" applyFont="1" applyBorder="1" applyAlignment="1">
      <alignment horizontal="left" vertical="center" wrapText="1"/>
    </xf>
    <xf numFmtId="0" fontId="41" fillId="0" borderId="3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49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3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54" t="s">
        <v>109</v>
      </c>
      <c r="C2" s="54"/>
    </row>
    <row r="4" spans="2:3" ht="19.5" customHeight="1">
      <c r="B4" s="14" t="s">
        <v>110</v>
      </c>
      <c r="C4" s="15" t="s">
        <v>111</v>
      </c>
    </row>
    <row r="5" spans="2:3" ht="36.950000000000003" customHeight="1">
      <c r="B5" s="1" t="s">
        <v>0</v>
      </c>
      <c r="C5" s="15" t="s">
        <v>112</v>
      </c>
    </row>
    <row r="6" spans="2:3" ht="19.5" customHeight="1">
      <c r="B6" s="1" t="s">
        <v>1</v>
      </c>
      <c r="C6" s="3" t="s">
        <v>113</v>
      </c>
    </row>
    <row r="7" spans="2:3" ht="19.5" customHeight="1">
      <c r="B7" s="1" t="s">
        <v>2</v>
      </c>
      <c r="C7" s="3" t="s">
        <v>114</v>
      </c>
    </row>
    <row r="9" spans="2:3" ht="15" customHeight="1">
      <c r="B9" s="50" t="s">
        <v>115</v>
      </c>
      <c r="C9" s="51"/>
    </row>
    <row r="10" spans="2:3" ht="27">
      <c r="B10" s="4" t="s">
        <v>3</v>
      </c>
      <c r="C10" s="15" t="s">
        <v>116</v>
      </c>
    </row>
    <row r="11" spans="2:3" ht="40.5">
      <c r="B11" s="4" t="s">
        <v>117</v>
      </c>
      <c r="C11" s="15" t="s">
        <v>118</v>
      </c>
    </row>
    <row r="12" spans="2:3" ht="33.75" customHeight="1">
      <c r="B12" s="4" t="s">
        <v>119</v>
      </c>
      <c r="C12" s="2" t="s">
        <v>120</v>
      </c>
    </row>
    <row r="13" spans="2:3" ht="33.75" customHeight="1">
      <c r="B13" s="4" t="s">
        <v>121</v>
      </c>
      <c r="C13" s="3" t="s">
        <v>122</v>
      </c>
    </row>
    <row r="14" spans="2:3" ht="33.75" customHeight="1">
      <c r="B14" s="4" t="s">
        <v>123</v>
      </c>
      <c r="C14" s="2" t="s">
        <v>124</v>
      </c>
    </row>
    <row r="15" spans="2:3" ht="33.75" customHeight="1">
      <c r="B15" s="4" t="s">
        <v>4</v>
      </c>
      <c r="C15" s="15" t="s">
        <v>125</v>
      </c>
    </row>
    <row r="17" spans="2:3" ht="15" customHeight="1">
      <c r="B17" s="52" t="s">
        <v>5</v>
      </c>
      <c r="C17" s="53"/>
    </row>
    <row r="18" spans="2:3" ht="27.75" customHeight="1">
      <c r="B18" s="55" t="s">
        <v>126</v>
      </c>
      <c r="C18" s="56"/>
    </row>
    <row r="19" spans="2:3" ht="27.75" customHeight="1">
      <c r="B19" s="48" t="s">
        <v>7</v>
      </c>
      <c r="C19" s="49"/>
    </row>
    <row r="20" spans="2:3" ht="27.75" customHeight="1">
      <c r="B20" s="48" t="s">
        <v>8</v>
      </c>
      <c r="C20" s="49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>
      <selection activeCell="D7" sqref="D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59" t="s">
        <v>9</v>
      </c>
      <c r="C2" s="60"/>
      <c r="D2" s="60"/>
      <c r="E2" s="60"/>
      <c r="F2" s="60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23" t="s">
        <v>143</v>
      </c>
      <c r="C5" s="24" t="s">
        <v>15</v>
      </c>
      <c r="D5" s="15" t="s">
        <v>140</v>
      </c>
      <c r="E5" s="25" t="s">
        <v>141</v>
      </c>
      <c r="F5" s="24" t="s">
        <v>16</v>
      </c>
    </row>
    <row r="6" spans="2:10" ht="129.75" customHeight="1">
      <c r="B6" s="23" t="s">
        <v>144</v>
      </c>
      <c r="C6" s="24" t="s">
        <v>17</v>
      </c>
      <c r="D6" s="15" t="s">
        <v>148</v>
      </c>
      <c r="E6" s="24" t="s">
        <v>18</v>
      </c>
      <c r="F6" s="24" t="s">
        <v>19</v>
      </c>
    </row>
    <row r="7" spans="2:10" ht="129.75" customHeight="1">
      <c r="B7" s="23" t="s">
        <v>20</v>
      </c>
      <c r="C7" s="5" t="s">
        <v>21</v>
      </c>
      <c r="D7" s="22" t="s">
        <v>146</v>
      </c>
      <c r="E7" s="5" t="s">
        <v>22</v>
      </c>
      <c r="F7" s="5" t="s">
        <v>23</v>
      </c>
      <c r="J7" s="27" t="s">
        <v>147</v>
      </c>
    </row>
    <row r="8" spans="2:10" ht="129.75" customHeight="1">
      <c r="B8" s="26" t="s">
        <v>145</v>
      </c>
      <c r="C8" s="5" t="s">
        <v>24</v>
      </c>
      <c r="D8" s="15" t="s">
        <v>142</v>
      </c>
      <c r="E8" s="24" t="s">
        <v>25</v>
      </c>
      <c r="F8" s="5" t="s">
        <v>26</v>
      </c>
    </row>
    <row r="9" spans="2:10" ht="14.1" customHeight="1"/>
    <row r="10" spans="2:10" ht="15" customHeight="1">
      <c r="B10" s="61" t="s">
        <v>127</v>
      </c>
      <c r="C10" s="58"/>
      <c r="D10" s="58"/>
      <c r="E10" s="58"/>
      <c r="F10" s="51"/>
    </row>
    <row r="11" spans="2:10" ht="24" customHeight="1">
      <c r="B11" s="5" t="s">
        <v>6</v>
      </c>
      <c r="C11" s="57" t="s">
        <v>128</v>
      </c>
      <c r="D11" s="58"/>
      <c r="E11" s="58"/>
      <c r="F11" s="58"/>
    </row>
    <row r="12" spans="2:10" ht="24" customHeight="1">
      <c r="B12" s="5" t="s">
        <v>6</v>
      </c>
      <c r="C12" s="57" t="s">
        <v>129</v>
      </c>
      <c r="D12" s="58"/>
      <c r="E12" s="58"/>
      <c r="F12" s="58"/>
    </row>
    <row r="13" spans="2:10" ht="24" customHeight="1">
      <c r="B13" s="5" t="s">
        <v>6</v>
      </c>
      <c r="C13" s="57" t="s">
        <v>130</v>
      </c>
      <c r="D13" s="58"/>
      <c r="E13" s="58"/>
      <c r="F13" s="58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65"/>
  <sheetViews>
    <sheetView showGridLines="0" zoomScaleNormal="100" workbookViewId="0">
      <selection activeCell="I19" sqref="I19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62" t="s">
        <v>27</v>
      </c>
      <c r="C2" s="60"/>
      <c r="D2" s="60"/>
      <c r="E2" s="60"/>
      <c r="F2" s="60"/>
    </row>
    <row r="3" spans="2:6" ht="28.35" customHeight="1">
      <c r="B3" s="63" t="s">
        <v>139</v>
      </c>
      <c r="C3" s="58"/>
      <c r="D3" s="58"/>
      <c r="E3" s="58"/>
      <c r="F3" s="51"/>
    </row>
    <row r="4" spans="2:6" ht="35.65" customHeight="1">
      <c r="B4" s="8" t="s">
        <v>28</v>
      </c>
      <c r="C4" s="8" t="s">
        <v>29</v>
      </c>
      <c r="D4" s="8" t="s">
        <v>30</v>
      </c>
      <c r="E4" s="16" t="s">
        <v>131</v>
      </c>
      <c r="F4" s="8" t="s">
        <v>31</v>
      </c>
    </row>
    <row r="5" spans="2:6" ht="15" customHeight="1">
      <c r="B5" s="9" t="s">
        <v>32</v>
      </c>
      <c r="C5" s="9"/>
      <c r="D5" s="9"/>
      <c r="E5" s="9"/>
      <c r="F5" s="9"/>
    </row>
    <row r="6" spans="2:6" ht="30" customHeight="1">
      <c r="B6" s="37" t="s">
        <v>361</v>
      </c>
      <c r="C6" s="34" t="s">
        <v>149</v>
      </c>
      <c r="D6" s="34" t="s">
        <v>150</v>
      </c>
      <c r="E6" s="34" t="s">
        <v>151</v>
      </c>
      <c r="F6" s="34" t="s">
        <v>152</v>
      </c>
    </row>
    <row r="7" spans="2:6" ht="30" customHeight="1">
      <c r="B7" s="34" t="s">
        <v>361</v>
      </c>
      <c r="C7" s="34" t="s">
        <v>153</v>
      </c>
      <c r="D7" s="34" t="s">
        <v>154</v>
      </c>
      <c r="E7" s="34" t="s">
        <v>155</v>
      </c>
      <c r="F7" s="34" t="s">
        <v>156</v>
      </c>
    </row>
    <row r="8" spans="2:6" ht="30" customHeight="1">
      <c r="B8" s="34" t="s">
        <v>361</v>
      </c>
      <c r="C8" s="34" t="s">
        <v>157</v>
      </c>
      <c r="D8" s="34" t="s">
        <v>158</v>
      </c>
      <c r="E8" s="34" t="s">
        <v>159</v>
      </c>
      <c r="F8" s="34" t="s">
        <v>160</v>
      </c>
    </row>
    <row r="9" spans="2:6" ht="30" customHeight="1">
      <c r="B9" s="34" t="s">
        <v>361</v>
      </c>
      <c r="C9" s="34" t="s">
        <v>161</v>
      </c>
      <c r="D9" s="34" t="s">
        <v>162</v>
      </c>
      <c r="E9" s="34" t="s">
        <v>163</v>
      </c>
      <c r="F9" s="34" t="s">
        <v>164</v>
      </c>
    </row>
    <row r="10" spans="2:6" ht="30" customHeight="1">
      <c r="B10" s="34" t="s">
        <v>361</v>
      </c>
      <c r="C10" s="34" t="s">
        <v>165</v>
      </c>
      <c r="D10" s="34" t="s">
        <v>166</v>
      </c>
      <c r="E10" s="34" t="s">
        <v>163</v>
      </c>
      <c r="F10" s="34" t="s">
        <v>167</v>
      </c>
    </row>
    <row r="11" spans="2:6" ht="30" customHeight="1">
      <c r="B11" s="34" t="s">
        <v>361</v>
      </c>
      <c r="C11" s="34" t="s">
        <v>168</v>
      </c>
      <c r="D11" s="34" t="s">
        <v>169</v>
      </c>
      <c r="E11" s="34" t="s">
        <v>170</v>
      </c>
      <c r="F11" s="34" t="s">
        <v>171</v>
      </c>
    </row>
    <row r="12" spans="2:6" ht="30" customHeight="1">
      <c r="B12" s="34" t="s">
        <v>361</v>
      </c>
      <c r="C12" s="34" t="s">
        <v>172</v>
      </c>
      <c r="D12" s="34" t="s">
        <v>173</v>
      </c>
      <c r="E12" s="34" t="s">
        <v>174</v>
      </c>
      <c r="F12" s="34" t="s">
        <v>175</v>
      </c>
    </row>
    <row r="13" spans="2:6" ht="30" customHeight="1">
      <c r="B13" s="34" t="s">
        <v>361</v>
      </c>
      <c r="C13" s="34" t="s">
        <v>176</v>
      </c>
      <c r="D13" s="34" t="s">
        <v>177</v>
      </c>
      <c r="E13" s="34" t="s">
        <v>178</v>
      </c>
      <c r="F13" s="34" t="s">
        <v>179</v>
      </c>
    </row>
    <row r="14" spans="2:6" ht="30" customHeight="1">
      <c r="B14" s="34" t="s">
        <v>361</v>
      </c>
      <c r="C14" s="34" t="s">
        <v>180</v>
      </c>
      <c r="D14" s="34" t="s">
        <v>181</v>
      </c>
      <c r="E14" s="34" t="s">
        <v>182</v>
      </c>
      <c r="F14" s="34" t="s">
        <v>183</v>
      </c>
    </row>
    <row r="15" spans="2:6" ht="30" customHeight="1">
      <c r="B15" s="34" t="s">
        <v>361</v>
      </c>
      <c r="C15" s="34" t="s">
        <v>184</v>
      </c>
      <c r="D15" s="34" t="s">
        <v>185</v>
      </c>
      <c r="E15" s="34" t="s">
        <v>182</v>
      </c>
      <c r="F15" s="34" t="s">
        <v>186</v>
      </c>
    </row>
    <row r="16" spans="2:6" ht="30" customHeight="1">
      <c r="B16" s="34" t="s">
        <v>361</v>
      </c>
      <c r="C16" s="34" t="s">
        <v>187</v>
      </c>
      <c r="D16" s="34" t="s">
        <v>188</v>
      </c>
      <c r="E16" s="34" t="s">
        <v>189</v>
      </c>
      <c r="F16" s="34" t="s">
        <v>190</v>
      </c>
    </row>
    <row r="17" spans="2:6" ht="30" customHeight="1">
      <c r="B17" s="34" t="s">
        <v>361</v>
      </c>
      <c r="C17" s="34" t="s">
        <v>191</v>
      </c>
      <c r="D17" s="34" t="s">
        <v>192</v>
      </c>
      <c r="E17" s="34" t="s">
        <v>170</v>
      </c>
      <c r="F17" s="34" t="s">
        <v>193</v>
      </c>
    </row>
    <row r="18" spans="2:6" ht="30" customHeight="1">
      <c r="B18" s="34" t="s">
        <v>361</v>
      </c>
      <c r="C18" s="34" t="s">
        <v>194</v>
      </c>
      <c r="D18" s="34" t="s">
        <v>195</v>
      </c>
      <c r="E18" s="34" t="s">
        <v>196</v>
      </c>
      <c r="F18" s="34" t="s">
        <v>197</v>
      </c>
    </row>
    <row r="19" spans="2:6" ht="30" customHeight="1">
      <c r="B19" s="34" t="s">
        <v>361</v>
      </c>
      <c r="C19" s="34" t="s">
        <v>198</v>
      </c>
      <c r="D19" s="34" t="s">
        <v>199</v>
      </c>
      <c r="E19" s="34" t="s">
        <v>196</v>
      </c>
      <c r="F19" s="34" t="s">
        <v>200</v>
      </c>
    </row>
    <row r="20" spans="2:6" ht="30" customHeight="1">
      <c r="B20" s="34" t="s">
        <v>361</v>
      </c>
      <c r="C20" s="34" t="s">
        <v>201</v>
      </c>
      <c r="D20" s="34" t="s">
        <v>202</v>
      </c>
      <c r="E20" s="34" t="s">
        <v>203</v>
      </c>
      <c r="F20" s="34" t="s">
        <v>204</v>
      </c>
    </row>
    <row r="21" spans="2:6" ht="30" customHeight="1">
      <c r="B21" s="34" t="s">
        <v>361</v>
      </c>
      <c r="C21" s="34" t="s">
        <v>205</v>
      </c>
      <c r="D21" s="34" t="s">
        <v>206</v>
      </c>
      <c r="E21" s="34" t="s">
        <v>207</v>
      </c>
      <c r="F21" s="34" t="s">
        <v>208</v>
      </c>
    </row>
    <row r="22" spans="2:6" ht="30" customHeight="1">
      <c r="B22" s="34" t="s">
        <v>361</v>
      </c>
      <c r="C22" s="34" t="s">
        <v>209</v>
      </c>
      <c r="D22" s="34" t="s">
        <v>210</v>
      </c>
      <c r="E22" s="34" t="s">
        <v>211</v>
      </c>
      <c r="F22" s="34" t="s">
        <v>212</v>
      </c>
    </row>
    <row r="23" spans="2:6" ht="30">
      <c r="B23" s="34" t="s">
        <v>361</v>
      </c>
      <c r="C23" s="34" t="s">
        <v>213</v>
      </c>
      <c r="D23" s="34" t="s">
        <v>214</v>
      </c>
      <c r="E23" s="34" t="s">
        <v>215</v>
      </c>
      <c r="F23" s="34" t="s">
        <v>216</v>
      </c>
    </row>
    <row r="24" spans="2:6" ht="45">
      <c r="B24" s="34" t="s">
        <v>361</v>
      </c>
      <c r="C24" s="34" t="s">
        <v>217</v>
      </c>
      <c r="D24" s="34" t="s">
        <v>218</v>
      </c>
      <c r="E24" s="34" t="s">
        <v>219</v>
      </c>
      <c r="F24" s="34" t="s">
        <v>220</v>
      </c>
    </row>
    <row r="25" spans="2:6" ht="45">
      <c r="B25" s="34" t="s">
        <v>361</v>
      </c>
      <c r="C25" s="34" t="s">
        <v>221</v>
      </c>
      <c r="D25" s="34" t="s">
        <v>222</v>
      </c>
      <c r="E25" s="34" t="s">
        <v>223</v>
      </c>
      <c r="F25" s="34" t="s">
        <v>224</v>
      </c>
    </row>
    <row r="26" spans="2:6" ht="45">
      <c r="B26" s="34" t="s">
        <v>361</v>
      </c>
      <c r="C26" s="34" t="s">
        <v>225</v>
      </c>
      <c r="D26" s="34" t="s">
        <v>226</v>
      </c>
      <c r="E26" s="34" t="s">
        <v>227</v>
      </c>
      <c r="F26" s="34" t="s">
        <v>228</v>
      </c>
    </row>
    <row r="27" spans="2:6" ht="45">
      <c r="B27" s="34" t="s">
        <v>361</v>
      </c>
      <c r="C27" s="34" t="s">
        <v>229</v>
      </c>
      <c r="D27" s="34" t="s">
        <v>230</v>
      </c>
      <c r="E27" s="34" t="s">
        <v>231</v>
      </c>
      <c r="F27" s="34" t="s">
        <v>232</v>
      </c>
    </row>
    <row r="28" spans="2:6" ht="45">
      <c r="B28" s="34" t="s">
        <v>361</v>
      </c>
      <c r="C28" s="34" t="s">
        <v>233</v>
      </c>
      <c r="D28" s="34" t="s">
        <v>234</v>
      </c>
      <c r="E28" s="34" t="s">
        <v>235</v>
      </c>
      <c r="F28" s="34" t="s">
        <v>236</v>
      </c>
    </row>
    <row r="29" spans="2:6" ht="45">
      <c r="B29" s="34" t="s">
        <v>361</v>
      </c>
      <c r="C29" s="34" t="s">
        <v>237</v>
      </c>
      <c r="D29" s="34" t="s">
        <v>238</v>
      </c>
      <c r="E29" s="34" t="s">
        <v>239</v>
      </c>
      <c r="F29" s="34" t="s">
        <v>240</v>
      </c>
    </row>
    <row r="30" spans="2:6" ht="45">
      <c r="B30" s="34" t="s">
        <v>361</v>
      </c>
      <c r="C30" s="34" t="s">
        <v>241</v>
      </c>
      <c r="D30" s="34" t="s">
        <v>242</v>
      </c>
      <c r="E30" s="34" t="s">
        <v>239</v>
      </c>
      <c r="F30" s="34" t="s">
        <v>243</v>
      </c>
    </row>
    <row r="31" spans="2:6" ht="30">
      <c r="B31" s="34" t="s">
        <v>361</v>
      </c>
      <c r="C31" s="34" t="s">
        <v>244</v>
      </c>
      <c r="D31" s="34" t="s">
        <v>245</v>
      </c>
      <c r="E31" s="34" t="s">
        <v>239</v>
      </c>
      <c r="F31" s="34" t="s">
        <v>246</v>
      </c>
    </row>
    <row r="32" spans="2:6" ht="45">
      <c r="B32" s="34" t="s">
        <v>361</v>
      </c>
      <c r="C32" s="34" t="s">
        <v>247</v>
      </c>
      <c r="D32" s="34" t="s">
        <v>248</v>
      </c>
      <c r="E32" s="34" t="s">
        <v>239</v>
      </c>
      <c r="F32" s="34" t="s">
        <v>249</v>
      </c>
    </row>
    <row r="33" spans="2:6" ht="45">
      <c r="B33" s="34" t="s">
        <v>361</v>
      </c>
      <c r="C33" s="34" t="s">
        <v>250</v>
      </c>
      <c r="D33" s="34" t="s">
        <v>251</v>
      </c>
      <c r="E33" s="34" t="s">
        <v>252</v>
      </c>
      <c r="F33" s="34" t="s">
        <v>253</v>
      </c>
    </row>
    <row r="34" spans="2:6" ht="60">
      <c r="B34" s="34" t="s">
        <v>362</v>
      </c>
      <c r="C34" s="34" t="s">
        <v>254</v>
      </c>
      <c r="D34" s="34" t="s">
        <v>255</v>
      </c>
      <c r="E34" s="34" t="s">
        <v>231</v>
      </c>
      <c r="F34" s="34" t="s">
        <v>256</v>
      </c>
    </row>
    <row r="35" spans="2:6" ht="60">
      <c r="B35" s="34" t="s">
        <v>363</v>
      </c>
      <c r="C35" s="34" t="s">
        <v>257</v>
      </c>
      <c r="D35" s="34" t="s">
        <v>258</v>
      </c>
      <c r="E35" s="34" t="s">
        <v>231</v>
      </c>
      <c r="F35" s="34" t="s">
        <v>259</v>
      </c>
    </row>
    <row r="36" spans="2:6" ht="45">
      <c r="B36" s="34" t="s">
        <v>362</v>
      </c>
      <c r="C36" s="34" t="s">
        <v>260</v>
      </c>
      <c r="D36" s="34" t="s">
        <v>261</v>
      </c>
      <c r="E36" s="34" t="s">
        <v>231</v>
      </c>
      <c r="F36" s="34" t="s">
        <v>262</v>
      </c>
    </row>
    <row r="37" spans="2:6" ht="60">
      <c r="B37" s="34" t="s">
        <v>363</v>
      </c>
      <c r="C37" s="34" t="s">
        <v>265</v>
      </c>
      <c r="D37" s="34" t="s">
        <v>266</v>
      </c>
      <c r="E37" s="34" t="s">
        <v>231</v>
      </c>
      <c r="F37" s="34" t="s">
        <v>267</v>
      </c>
    </row>
    <row r="38" spans="2:6" ht="45">
      <c r="B38" s="34" t="s">
        <v>363</v>
      </c>
      <c r="C38" s="34" t="s">
        <v>270</v>
      </c>
      <c r="D38" s="34" t="s">
        <v>271</v>
      </c>
      <c r="E38" s="34" t="s">
        <v>231</v>
      </c>
      <c r="F38" s="34" t="s">
        <v>272</v>
      </c>
    </row>
    <row r="39" spans="2:6" ht="45">
      <c r="B39" s="34" t="s">
        <v>363</v>
      </c>
      <c r="C39" s="34" t="s">
        <v>273</v>
      </c>
      <c r="D39" s="34" t="s">
        <v>274</v>
      </c>
      <c r="E39" s="34" t="s">
        <v>231</v>
      </c>
      <c r="F39" s="34" t="s">
        <v>275</v>
      </c>
    </row>
    <row r="40" spans="2:6" ht="45">
      <c r="B40" s="34" t="s">
        <v>363</v>
      </c>
      <c r="C40" s="34" t="s">
        <v>276</v>
      </c>
      <c r="D40" s="34" t="s">
        <v>277</v>
      </c>
      <c r="E40" s="34" t="s">
        <v>231</v>
      </c>
      <c r="F40" s="34" t="s">
        <v>278</v>
      </c>
    </row>
    <row r="41" spans="2:6" ht="45">
      <c r="B41" s="34" t="s">
        <v>279</v>
      </c>
      <c r="C41" s="34" t="s">
        <v>280</v>
      </c>
      <c r="D41" s="35" t="s">
        <v>281</v>
      </c>
      <c r="E41" s="34" t="s">
        <v>155</v>
      </c>
      <c r="F41" s="34" t="s">
        <v>282</v>
      </c>
    </row>
    <row r="42" spans="2:6" ht="45">
      <c r="B42" s="34" t="s">
        <v>279</v>
      </c>
      <c r="C42" s="34" t="s">
        <v>283</v>
      </c>
      <c r="D42" s="34" t="s">
        <v>284</v>
      </c>
      <c r="E42" s="34" t="s">
        <v>155</v>
      </c>
      <c r="F42" s="34" t="s">
        <v>285</v>
      </c>
    </row>
    <row r="43" spans="2:6" ht="45">
      <c r="B43" s="34" t="s">
        <v>279</v>
      </c>
      <c r="C43" s="34" t="s">
        <v>286</v>
      </c>
      <c r="D43" s="34" t="s">
        <v>287</v>
      </c>
      <c r="E43" s="34" t="s">
        <v>288</v>
      </c>
      <c r="F43" s="34" t="s">
        <v>289</v>
      </c>
    </row>
    <row r="44" spans="2:6" ht="45">
      <c r="B44" s="34" t="s">
        <v>279</v>
      </c>
      <c r="C44" s="34" t="s">
        <v>290</v>
      </c>
      <c r="D44" s="34" t="s">
        <v>291</v>
      </c>
      <c r="E44" s="34" t="s">
        <v>292</v>
      </c>
      <c r="F44" s="34" t="s">
        <v>293</v>
      </c>
    </row>
    <row r="45" spans="2:6" ht="45">
      <c r="B45" s="34" t="s">
        <v>279</v>
      </c>
      <c r="C45" s="34" t="s">
        <v>294</v>
      </c>
      <c r="D45" s="34" t="s">
        <v>295</v>
      </c>
      <c r="E45" s="34" t="s">
        <v>151</v>
      </c>
      <c r="F45" s="34" t="s">
        <v>296</v>
      </c>
    </row>
    <row r="46" spans="2:6" ht="30">
      <c r="B46" s="34" t="s">
        <v>279</v>
      </c>
      <c r="C46" s="34" t="s">
        <v>297</v>
      </c>
      <c r="D46" s="34" t="s">
        <v>298</v>
      </c>
      <c r="E46" s="34" t="s">
        <v>163</v>
      </c>
      <c r="F46" s="34" t="s">
        <v>299</v>
      </c>
    </row>
    <row r="47" spans="2:6" ht="45">
      <c r="B47" s="34" t="s">
        <v>279</v>
      </c>
      <c r="C47" s="34" t="s">
        <v>300</v>
      </c>
      <c r="D47" s="34" t="s">
        <v>301</v>
      </c>
      <c r="E47" s="34" t="s">
        <v>189</v>
      </c>
      <c r="F47" s="34" t="s">
        <v>302</v>
      </c>
    </row>
    <row r="48" spans="2:6" ht="60">
      <c r="B48" s="34" t="s">
        <v>279</v>
      </c>
      <c r="C48" s="34" t="s">
        <v>303</v>
      </c>
      <c r="D48" s="34" t="s">
        <v>304</v>
      </c>
      <c r="E48" s="34" t="s">
        <v>189</v>
      </c>
      <c r="F48" s="34" t="s">
        <v>305</v>
      </c>
    </row>
    <row r="49" spans="2:6" ht="45">
      <c r="B49" s="34" t="s">
        <v>279</v>
      </c>
      <c r="C49" s="34" t="s">
        <v>306</v>
      </c>
      <c r="D49" s="34" t="s">
        <v>307</v>
      </c>
      <c r="E49" s="34" t="s">
        <v>196</v>
      </c>
      <c r="F49" s="34" t="s">
        <v>308</v>
      </c>
    </row>
    <row r="50" spans="2:6" ht="45">
      <c r="B50" s="34" t="s">
        <v>279</v>
      </c>
      <c r="C50" s="34" t="s">
        <v>309</v>
      </c>
      <c r="D50" s="34" t="s">
        <v>310</v>
      </c>
      <c r="E50" s="34" t="s">
        <v>196</v>
      </c>
      <c r="F50" s="34" t="s">
        <v>311</v>
      </c>
    </row>
    <row r="51" spans="2:6" ht="45">
      <c r="B51" s="34" t="s">
        <v>279</v>
      </c>
      <c r="C51" s="34" t="s">
        <v>312</v>
      </c>
      <c r="D51" s="34" t="s">
        <v>313</v>
      </c>
      <c r="E51" s="34" t="s">
        <v>196</v>
      </c>
      <c r="F51" s="34" t="s">
        <v>314</v>
      </c>
    </row>
    <row r="52" spans="2:6" ht="45">
      <c r="B52" s="34" t="s">
        <v>279</v>
      </c>
      <c r="C52" s="34" t="s">
        <v>315</v>
      </c>
      <c r="D52" s="35" t="s">
        <v>316</v>
      </c>
      <c r="E52" s="34" t="s">
        <v>317</v>
      </c>
      <c r="F52" s="34" t="s">
        <v>318</v>
      </c>
    </row>
    <row r="53" spans="2:6" ht="60">
      <c r="B53" s="34" t="s">
        <v>279</v>
      </c>
      <c r="C53" s="34" t="s">
        <v>319</v>
      </c>
      <c r="D53" s="34" t="s">
        <v>320</v>
      </c>
      <c r="E53" s="34" t="s">
        <v>321</v>
      </c>
      <c r="F53" s="34" t="s">
        <v>322</v>
      </c>
    </row>
    <row r="54" spans="2:6" ht="60">
      <c r="B54" s="34" t="s">
        <v>279</v>
      </c>
      <c r="C54" s="34" t="s">
        <v>323</v>
      </c>
      <c r="D54" s="34" t="s">
        <v>324</v>
      </c>
      <c r="E54" s="34" t="s">
        <v>321</v>
      </c>
      <c r="F54" s="34" t="s">
        <v>325</v>
      </c>
    </row>
    <row r="55" spans="2:6" ht="45">
      <c r="B55" s="34" t="s">
        <v>279</v>
      </c>
      <c r="C55" s="34" t="s">
        <v>326</v>
      </c>
      <c r="D55" s="34" t="s">
        <v>327</v>
      </c>
      <c r="E55" s="34" t="s">
        <v>223</v>
      </c>
      <c r="F55" s="34" t="s">
        <v>328</v>
      </c>
    </row>
    <row r="56" spans="2:6" ht="45">
      <c r="B56" s="34" t="s">
        <v>279</v>
      </c>
      <c r="C56" s="36" t="s">
        <v>329</v>
      </c>
      <c r="D56" s="34" t="s">
        <v>330</v>
      </c>
      <c r="E56" s="34" t="s">
        <v>239</v>
      </c>
      <c r="F56" s="36" t="s">
        <v>331</v>
      </c>
    </row>
    <row r="57" spans="2:6" ht="45">
      <c r="B57" s="34" t="s">
        <v>279</v>
      </c>
      <c r="C57" s="34" t="s">
        <v>332</v>
      </c>
      <c r="D57" s="34" t="s">
        <v>333</v>
      </c>
      <c r="E57" s="34" t="s">
        <v>239</v>
      </c>
      <c r="F57" s="34" t="s">
        <v>334</v>
      </c>
    </row>
    <row r="58" spans="2:6" ht="90">
      <c r="B58" s="34" t="s">
        <v>279</v>
      </c>
      <c r="C58" s="34" t="s">
        <v>335</v>
      </c>
      <c r="D58" s="34" t="s">
        <v>336</v>
      </c>
      <c r="E58" s="34" t="s">
        <v>337</v>
      </c>
      <c r="F58" s="34" t="s">
        <v>338</v>
      </c>
    </row>
    <row r="59" spans="2:6" ht="60">
      <c r="B59" s="34" t="s">
        <v>279</v>
      </c>
      <c r="C59" s="34" t="s">
        <v>339</v>
      </c>
      <c r="D59" s="34" t="s">
        <v>340</v>
      </c>
      <c r="E59" s="34" t="s">
        <v>341</v>
      </c>
      <c r="F59" s="34" t="s">
        <v>342</v>
      </c>
    </row>
    <row r="60" spans="2:6" ht="30">
      <c r="B60" s="34" t="s">
        <v>279</v>
      </c>
      <c r="C60" s="34" t="s">
        <v>343</v>
      </c>
      <c r="D60" s="34" t="s">
        <v>344</v>
      </c>
      <c r="E60" s="34" t="s">
        <v>345</v>
      </c>
      <c r="F60" s="34" t="s">
        <v>346</v>
      </c>
    </row>
    <row r="61" spans="2:6" ht="45">
      <c r="B61" s="34" t="s">
        <v>279</v>
      </c>
      <c r="C61" s="34" t="s">
        <v>347</v>
      </c>
      <c r="D61" s="34" t="s">
        <v>348</v>
      </c>
      <c r="E61" s="34" t="s">
        <v>231</v>
      </c>
      <c r="F61" s="34" t="s">
        <v>349</v>
      </c>
    </row>
    <row r="62" spans="2:6" ht="45">
      <c r="B62" s="34" t="s">
        <v>279</v>
      </c>
      <c r="C62" s="34" t="s">
        <v>350</v>
      </c>
      <c r="D62" s="34" t="s">
        <v>351</v>
      </c>
      <c r="E62" s="34" t="s">
        <v>352</v>
      </c>
      <c r="F62" s="34" t="s">
        <v>353</v>
      </c>
    </row>
    <row r="63" spans="2:6" ht="45">
      <c r="B63" s="34" t="s">
        <v>279</v>
      </c>
      <c r="C63" s="34" t="s">
        <v>354</v>
      </c>
      <c r="D63" s="34" t="s">
        <v>355</v>
      </c>
      <c r="E63" s="34" t="s">
        <v>341</v>
      </c>
      <c r="F63" s="34" t="s">
        <v>356</v>
      </c>
    </row>
    <row r="64" spans="2:6" ht="45">
      <c r="B64" s="34" t="s">
        <v>279</v>
      </c>
      <c r="C64" s="34" t="s">
        <v>357</v>
      </c>
      <c r="D64" s="34" t="s">
        <v>358</v>
      </c>
      <c r="E64" s="34" t="s">
        <v>359</v>
      </c>
      <c r="F64" s="34" t="s">
        <v>360</v>
      </c>
    </row>
    <row r="65" spans="2:5">
      <c r="B65" s="28"/>
      <c r="C65" s="28"/>
      <c r="D65" s="28"/>
      <c r="E65" s="28"/>
    </row>
  </sheetData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6"/>
  <sheetViews>
    <sheetView showGridLines="0" topLeftCell="B1" zoomScaleNormal="100" workbookViewId="0">
      <selection activeCell="E15" sqref="E15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59" t="s">
        <v>33</v>
      </c>
      <c r="C2" s="60"/>
      <c r="D2" s="60"/>
      <c r="E2" s="60"/>
      <c r="F2" s="60"/>
      <c r="G2" s="60"/>
      <c r="H2" s="60"/>
    </row>
    <row r="3" spans="2:8" ht="72.400000000000006" customHeight="1">
      <c r="B3" s="64" t="s">
        <v>133</v>
      </c>
      <c r="C3" s="58"/>
      <c r="D3" s="58"/>
      <c r="E3" s="58"/>
      <c r="F3" s="58"/>
      <c r="G3" s="58"/>
      <c r="H3" s="51"/>
    </row>
    <row r="4" spans="2:8" ht="18" customHeight="1">
      <c r="B4" s="65" t="s">
        <v>34</v>
      </c>
      <c r="C4" s="58"/>
      <c r="D4" s="58"/>
      <c r="E4" s="58"/>
      <c r="F4" s="58"/>
      <c r="G4" s="58"/>
      <c r="H4" s="51"/>
    </row>
    <row r="5" spans="2:8" ht="31.5" customHeight="1">
      <c r="B5" s="10" t="s">
        <v>35</v>
      </c>
      <c r="C5" s="10" t="s">
        <v>36</v>
      </c>
      <c r="D5" s="18" t="s">
        <v>37</v>
      </c>
      <c r="E5" s="11" t="s">
        <v>38</v>
      </c>
      <c r="F5" s="11" t="s">
        <v>39</v>
      </c>
      <c r="G5" s="10" t="s">
        <v>40</v>
      </c>
      <c r="H5" s="11" t="s">
        <v>41</v>
      </c>
    </row>
    <row r="6" spans="2:8" ht="33.75" customHeight="1">
      <c r="B6" s="12" t="s">
        <v>254</v>
      </c>
      <c r="C6" s="3" t="s">
        <v>364</v>
      </c>
      <c r="D6" s="5">
        <v>2</v>
      </c>
      <c r="E6" s="5">
        <v>4</v>
      </c>
      <c r="F6" s="5">
        <v>5</v>
      </c>
      <c r="G6" s="5">
        <f t="shared" ref="G6:G13" si="0">IF(OR(E6="",F6=""),"",E6*F6*2)</f>
        <v>40</v>
      </c>
      <c r="H6" s="5" t="s">
        <v>373</v>
      </c>
    </row>
    <row r="7" spans="2:8" ht="33.75" customHeight="1">
      <c r="B7" s="12" t="s">
        <v>257</v>
      </c>
      <c r="C7" s="3" t="s">
        <v>365</v>
      </c>
      <c r="D7" s="5">
        <v>2</v>
      </c>
      <c r="E7" s="5">
        <v>5</v>
      </c>
      <c r="F7" s="5">
        <v>3</v>
      </c>
      <c r="G7" s="5">
        <f t="shared" si="0"/>
        <v>30</v>
      </c>
      <c r="H7" s="5" t="s">
        <v>374</v>
      </c>
    </row>
    <row r="8" spans="2:8" ht="33.75" customHeight="1">
      <c r="B8" s="12" t="s">
        <v>260</v>
      </c>
      <c r="C8" s="3" t="s">
        <v>366</v>
      </c>
      <c r="D8" s="5">
        <v>3</v>
      </c>
      <c r="E8" s="5">
        <v>4</v>
      </c>
      <c r="F8" s="5">
        <v>4</v>
      </c>
      <c r="G8" s="5">
        <f t="shared" si="0"/>
        <v>32</v>
      </c>
      <c r="H8" s="5" t="s">
        <v>373</v>
      </c>
    </row>
    <row r="9" spans="2:8" ht="33.75" customHeight="1">
      <c r="B9" s="12" t="s">
        <v>263</v>
      </c>
      <c r="C9" s="2" t="s">
        <v>367</v>
      </c>
      <c r="D9" s="5">
        <v>5</v>
      </c>
      <c r="E9" s="5">
        <v>1</v>
      </c>
      <c r="F9" s="5">
        <v>5</v>
      </c>
      <c r="G9" s="5">
        <f t="shared" si="0"/>
        <v>10</v>
      </c>
      <c r="H9" s="5" t="s">
        <v>375</v>
      </c>
    </row>
    <row r="10" spans="2:8" ht="33.75" customHeight="1">
      <c r="B10" s="12" t="s">
        <v>264</v>
      </c>
      <c r="C10" s="2" t="s">
        <v>368</v>
      </c>
      <c r="D10" s="5">
        <v>3</v>
      </c>
      <c r="E10" s="5">
        <v>3</v>
      </c>
      <c r="F10" s="5">
        <v>4</v>
      </c>
      <c r="G10" s="5">
        <f t="shared" si="0"/>
        <v>24</v>
      </c>
      <c r="H10" s="5" t="s">
        <v>375</v>
      </c>
    </row>
    <row r="11" spans="2:8" ht="33.75" customHeight="1">
      <c r="B11" s="12" t="s">
        <v>265</v>
      </c>
      <c r="C11" s="3" t="s">
        <v>369</v>
      </c>
      <c r="D11" s="5">
        <v>5</v>
      </c>
      <c r="E11" s="5">
        <v>1</v>
      </c>
      <c r="F11" s="5">
        <v>2</v>
      </c>
      <c r="G11" s="5">
        <f t="shared" si="0"/>
        <v>4</v>
      </c>
      <c r="H11" s="5" t="s">
        <v>374</v>
      </c>
    </row>
    <row r="12" spans="2:8" ht="33.75" customHeight="1">
      <c r="B12" s="12" t="s">
        <v>268</v>
      </c>
      <c r="C12" s="3" t="s">
        <v>370</v>
      </c>
      <c r="D12" s="5">
        <v>4</v>
      </c>
      <c r="E12" s="5">
        <v>2</v>
      </c>
      <c r="F12" s="5">
        <v>3</v>
      </c>
      <c r="G12" s="5">
        <f t="shared" si="0"/>
        <v>12</v>
      </c>
      <c r="H12" s="5" t="s">
        <v>375</v>
      </c>
    </row>
    <row r="13" spans="2:8" ht="33.75" customHeight="1">
      <c r="B13" s="12" t="s">
        <v>269</v>
      </c>
      <c r="C13" s="2" t="s">
        <v>371</v>
      </c>
      <c r="D13" s="5">
        <v>3</v>
      </c>
      <c r="E13" s="5">
        <v>3</v>
      </c>
      <c r="F13" s="5">
        <v>2</v>
      </c>
      <c r="G13" s="5">
        <f t="shared" si="0"/>
        <v>12</v>
      </c>
      <c r="H13" s="5" t="s">
        <v>375</v>
      </c>
    </row>
    <row r="14" spans="2:8" s="28" customFormat="1" ht="33.75" customHeight="1">
      <c r="B14" s="38" t="s">
        <v>376</v>
      </c>
      <c r="C14" s="15" t="s">
        <v>372</v>
      </c>
      <c r="D14" s="5">
        <v>2</v>
      </c>
      <c r="E14" s="5">
        <v>3</v>
      </c>
      <c r="F14" s="5">
        <v>4</v>
      </c>
      <c r="G14" s="5">
        <f t="shared" ref="G14" si="1">IF(OR(E14="",F14=""),"",E14*F14*2)</f>
        <v>24</v>
      </c>
      <c r="H14" s="5" t="s">
        <v>373</v>
      </c>
    </row>
    <row r="15" spans="2:8" s="28" customFormat="1"/>
    <row r="16" spans="2:8" s="28" customFormat="1" ht="118.7" customHeight="1">
      <c r="B16" s="17" t="s">
        <v>132</v>
      </c>
      <c r="C16" s="66" t="s">
        <v>377</v>
      </c>
      <c r="D16" s="67"/>
      <c r="E16" s="67"/>
      <c r="F16" s="67"/>
      <c r="G16" s="67"/>
      <c r="H16" s="68"/>
    </row>
  </sheetData>
  <mergeCells count="4">
    <mergeCell ref="B3:H3"/>
    <mergeCell ref="B2:H2"/>
    <mergeCell ref="B4:H4"/>
    <mergeCell ref="C16:H16"/>
  </mergeCells>
  <phoneticPr fontId="17" type="noConversion"/>
  <conditionalFormatting sqref="G6:G13">
    <cfRule type="expression" dxfId="2" priority="3">
      <formula>AND(G6&lt;&gt;"",G6&gt;=32)</formula>
    </cfRule>
  </conditionalFormatting>
  <conditionalFormatting sqref="G14">
    <cfRule type="expression" dxfId="1" priority="1">
      <formula>AND(G14&lt;&gt;"",G14&gt;=32)</formula>
    </cfRule>
  </conditionalFormatting>
  <dataValidations count="2">
    <dataValidation type="list" allowBlank="1" sqref="E6:F14" xr:uid="{00000000-0002-0000-0300-000000000000}">
      <formula1>"1,2,3,4,5"</formula1>
      <formula2>0</formula2>
    </dataValidation>
    <dataValidation type="list" allowBlank="1" sqref="H6:H14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7"/>
  <sheetViews>
    <sheetView showGridLines="0" zoomScaleNormal="100" workbookViewId="0">
      <selection activeCell="I20" sqref="I20"/>
    </sheetView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62" t="s">
        <v>42</v>
      </c>
      <c r="C2" s="60"/>
    </row>
    <row r="3" spans="2:3" ht="18" customHeight="1">
      <c r="B3" s="72" t="s">
        <v>43</v>
      </c>
      <c r="C3" s="51"/>
    </row>
    <row r="4" spans="2:3" ht="30" customHeight="1">
      <c r="B4" s="1" t="s">
        <v>44</v>
      </c>
      <c r="C4" s="2" t="s">
        <v>378</v>
      </c>
    </row>
    <row r="5" spans="2:3" ht="30" customHeight="1">
      <c r="B5" s="1" t="s">
        <v>45</v>
      </c>
      <c r="C5" s="39" t="s">
        <v>379</v>
      </c>
    </row>
    <row r="6" spans="2:3" ht="30" customHeight="1">
      <c r="B6" s="1" t="s">
        <v>46</v>
      </c>
      <c r="C6" s="39" t="s">
        <v>380</v>
      </c>
    </row>
    <row r="7" spans="2:3" ht="30" customHeight="1">
      <c r="B7" s="1" t="s">
        <v>47</v>
      </c>
      <c r="C7" s="39" t="s">
        <v>381</v>
      </c>
    </row>
    <row r="9" spans="2:3" ht="15" customHeight="1">
      <c r="B9" s="70" t="s">
        <v>48</v>
      </c>
      <c r="C9" s="71"/>
    </row>
    <row r="10" spans="2:3" ht="25.5" customHeight="1">
      <c r="B10" s="48" t="s">
        <v>382</v>
      </c>
      <c r="C10" s="49"/>
    </row>
    <row r="11" spans="2:3" ht="25.5" customHeight="1">
      <c r="B11" s="48" t="s">
        <v>383</v>
      </c>
      <c r="C11" s="49"/>
    </row>
    <row r="12" spans="2:3" ht="25.5" customHeight="1">
      <c r="B12" s="55" t="s">
        <v>384</v>
      </c>
      <c r="C12" s="56"/>
    </row>
    <row r="13" spans="2:3" ht="25.5" customHeight="1">
      <c r="B13" s="55" t="s">
        <v>385</v>
      </c>
      <c r="C13" s="56"/>
    </row>
    <row r="14" spans="2:3" ht="25.5" customHeight="1">
      <c r="B14" s="48" t="s">
        <v>386</v>
      </c>
      <c r="C14" s="49"/>
    </row>
    <row r="15" spans="2:3" s="28" customFormat="1"/>
    <row r="16" spans="2:3" s="28" customFormat="1" ht="15" customHeight="1">
      <c r="B16" s="31" t="s">
        <v>49</v>
      </c>
      <c r="C16" s="32"/>
    </row>
    <row r="17" spans="2:3" s="28" customFormat="1" ht="25.5" customHeight="1">
      <c r="B17" s="57" t="s">
        <v>404</v>
      </c>
      <c r="C17" s="49"/>
    </row>
    <row r="18" spans="2:3" s="28" customFormat="1" ht="25.5" customHeight="1">
      <c r="B18" s="48" t="s">
        <v>387</v>
      </c>
      <c r="C18" s="49"/>
    </row>
    <row r="19" spans="2:3" s="28" customFormat="1" ht="25.5" customHeight="1">
      <c r="B19" s="69" t="s">
        <v>388</v>
      </c>
      <c r="C19" s="49"/>
    </row>
    <row r="20" spans="2:3" s="28" customFormat="1" ht="25.5" customHeight="1"/>
    <row r="21" spans="2:3" s="28" customFormat="1" ht="25.5" customHeight="1"/>
    <row r="22" spans="2:3" s="28" customFormat="1" ht="25.5" customHeight="1">
      <c r="B22" s="29" t="s">
        <v>50</v>
      </c>
      <c r="C22" s="30"/>
    </row>
    <row r="23" spans="2:3" s="28" customFormat="1">
      <c r="B23" s="48" t="s">
        <v>389</v>
      </c>
      <c r="C23" s="49"/>
    </row>
    <row r="24" spans="2:3" s="28" customFormat="1" ht="15" customHeight="1">
      <c r="B24" s="48" t="s">
        <v>390</v>
      </c>
      <c r="C24" s="49"/>
    </row>
    <row r="25" spans="2:3" s="28" customFormat="1" ht="25.5" customHeight="1">
      <c r="B25" s="69" t="s">
        <v>391</v>
      </c>
      <c r="C25" s="49"/>
    </row>
    <row r="26" spans="2:3" s="28" customFormat="1" ht="25.5" customHeight="1">
      <c r="B26"/>
      <c r="C26"/>
    </row>
    <row r="27" spans="2:3" s="28" customFormat="1" ht="25.5" customHeight="1">
      <c r="B27"/>
      <c r="C27"/>
    </row>
  </sheetData>
  <mergeCells count="14">
    <mergeCell ref="B3:C3"/>
    <mergeCell ref="B2:C2"/>
    <mergeCell ref="B10:C10"/>
    <mergeCell ref="B11:C11"/>
    <mergeCell ref="B24:C24"/>
    <mergeCell ref="B18:C18"/>
    <mergeCell ref="B25:C25"/>
    <mergeCell ref="B12:C12"/>
    <mergeCell ref="B9:C9"/>
    <mergeCell ref="B13:C13"/>
    <mergeCell ref="B14:C14"/>
    <mergeCell ref="B17:C17"/>
    <mergeCell ref="B19:C19"/>
    <mergeCell ref="B23:C2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9"/>
  <sheetViews>
    <sheetView showGridLines="0" tabSelected="1" zoomScaleNormal="100" workbookViewId="0">
      <selection activeCell="P16" sqref="P16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86" t="s">
        <v>405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2:13" ht="79.7" customHeight="1">
      <c r="B3" s="85" t="s">
        <v>134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1"/>
    </row>
    <row r="4" spans="2:13" ht="25.5" customHeight="1">
      <c r="B4" s="13" t="s">
        <v>51</v>
      </c>
      <c r="C4" s="11" t="s">
        <v>52</v>
      </c>
      <c r="D4" s="11" t="s">
        <v>53</v>
      </c>
      <c r="E4" s="11" t="s">
        <v>54</v>
      </c>
      <c r="F4" s="21" t="s">
        <v>137</v>
      </c>
      <c r="G4" s="21" t="s">
        <v>138</v>
      </c>
      <c r="H4" s="18" t="s">
        <v>55</v>
      </c>
      <c r="I4" s="20" t="s">
        <v>136</v>
      </c>
      <c r="J4" s="11" t="s">
        <v>56</v>
      </c>
      <c r="K4" s="19">
        <v>1</v>
      </c>
      <c r="L4" s="19">
        <v>2</v>
      </c>
      <c r="M4" s="19">
        <v>3</v>
      </c>
    </row>
    <row r="5" spans="2:13" ht="30" customHeight="1">
      <c r="B5" s="5">
        <v>1</v>
      </c>
      <c r="C5" s="41" t="s">
        <v>57</v>
      </c>
      <c r="D5" s="2" t="s">
        <v>392</v>
      </c>
      <c r="E5" s="24" t="s">
        <v>394</v>
      </c>
      <c r="F5" s="40">
        <v>1</v>
      </c>
      <c r="G5" s="40">
        <v>1</v>
      </c>
      <c r="H5" s="24">
        <f t="shared" ref="H5:H6" si="0">G5-F5+1</f>
        <v>1</v>
      </c>
      <c r="I5" s="5">
        <v>100</v>
      </c>
      <c r="J5" s="5" t="s">
        <v>403</v>
      </c>
      <c r="K5" s="3"/>
      <c r="L5" s="3"/>
      <c r="M5" s="3"/>
    </row>
    <row r="6" spans="2:13" ht="30" customHeight="1">
      <c r="B6" s="5">
        <v>2</v>
      </c>
      <c r="C6" s="41" t="s">
        <v>57</v>
      </c>
      <c r="D6" s="2" t="s">
        <v>393</v>
      </c>
      <c r="E6" s="24" t="s">
        <v>394</v>
      </c>
      <c r="F6" s="40">
        <v>1</v>
      </c>
      <c r="G6" s="40">
        <v>1</v>
      </c>
      <c r="H6" s="24">
        <f t="shared" si="0"/>
        <v>1</v>
      </c>
      <c r="I6" s="5">
        <v>100</v>
      </c>
      <c r="J6" s="5" t="s">
        <v>403</v>
      </c>
      <c r="K6" s="3"/>
      <c r="L6" s="3"/>
      <c r="M6" s="3"/>
    </row>
    <row r="7" spans="2:13" ht="30" customHeight="1">
      <c r="B7" s="5">
        <v>3</v>
      </c>
      <c r="C7" s="42" t="s">
        <v>58</v>
      </c>
      <c r="D7" s="93" t="s">
        <v>406</v>
      </c>
      <c r="E7" s="24" t="s">
        <v>394</v>
      </c>
      <c r="F7" s="40">
        <v>1</v>
      </c>
      <c r="G7" s="40">
        <v>1</v>
      </c>
      <c r="H7" s="24">
        <f t="shared" ref="H7:H18" si="1">G7-F7+1</f>
        <v>1</v>
      </c>
      <c r="I7" s="5">
        <v>100</v>
      </c>
      <c r="J7" s="5" t="s">
        <v>403</v>
      </c>
      <c r="K7" s="3"/>
      <c r="L7" s="3"/>
      <c r="M7" s="3"/>
    </row>
    <row r="8" spans="2:13" ht="30" customHeight="1">
      <c r="B8" s="5">
        <v>4</v>
      </c>
      <c r="C8" s="42" t="s">
        <v>58</v>
      </c>
      <c r="D8" s="93" t="s">
        <v>407</v>
      </c>
      <c r="E8" s="24" t="s">
        <v>394</v>
      </c>
      <c r="F8" s="40">
        <v>1</v>
      </c>
      <c r="G8" s="40">
        <v>1</v>
      </c>
      <c r="H8" s="24">
        <f t="shared" si="1"/>
        <v>1</v>
      </c>
      <c r="I8" s="5">
        <v>100</v>
      </c>
      <c r="J8" s="5" t="s">
        <v>403</v>
      </c>
      <c r="K8" s="3"/>
      <c r="L8" s="3"/>
      <c r="M8" s="3"/>
    </row>
    <row r="9" spans="2:13" ht="30" customHeight="1">
      <c r="B9" s="5">
        <v>5</v>
      </c>
      <c r="C9" s="43" t="s">
        <v>59</v>
      </c>
      <c r="D9" s="3" t="s">
        <v>395</v>
      </c>
      <c r="E9" s="24" t="s">
        <v>394</v>
      </c>
      <c r="F9" s="40">
        <v>2</v>
      </c>
      <c r="G9" s="40">
        <v>2</v>
      </c>
      <c r="H9" s="24">
        <f t="shared" si="1"/>
        <v>1</v>
      </c>
      <c r="I9" s="24">
        <v>0</v>
      </c>
      <c r="J9" s="24" t="s">
        <v>396</v>
      </c>
      <c r="K9" s="3"/>
      <c r="L9" s="3"/>
      <c r="M9" s="3"/>
    </row>
    <row r="10" spans="2:13" ht="30" customHeight="1">
      <c r="B10" s="5">
        <v>6</v>
      </c>
      <c r="C10" s="43" t="s">
        <v>59</v>
      </c>
      <c r="D10" s="3" t="s">
        <v>408</v>
      </c>
      <c r="E10" s="24" t="s">
        <v>394</v>
      </c>
      <c r="F10" s="40">
        <v>2</v>
      </c>
      <c r="G10" s="40">
        <v>2</v>
      </c>
      <c r="H10" s="24">
        <f t="shared" si="1"/>
        <v>1</v>
      </c>
      <c r="I10" s="24">
        <v>0</v>
      </c>
      <c r="J10" s="24" t="s">
        <v>396</v>
      </c>
      <c r="K10" s="3"/>
      <c r="L10" s="3"/>
      <c r="M10" s="3"/>
    </row>
    <row r="11" spans="2:13" ht="30" customHeight="1">
      <c r="B11" s="5">
        <v>8</v>
      </c>
      <c r="C11" s="43" t="s">
        <v>59</v>
      </c>
      <c r="D11" s="2" t="s">
        <v>397</v>
      </c>
      <c r="E11" s="24" t="s">
        <v>394</v>
      </c>
      <c r="F11" s="40">
        <v>2</v>
      </c>
      <c r="G11" s="40">
        <v>2</v>
      </c>
      <c r="H11" s="24">
        <f t="shared" si="1"/>
        <v>1</v>
      </c>
      <c r="I11" s="24">
        <v>0</v>
      </c>
      <c r="J11" s="24" t="s">
        <v>396</v>
      </c>
      <c r="K11" s="3"/>
      <c r="L11" s="3"/>
      <c r="M11" s="3"/>
    </row>
    <row r="12" spans="2:13" ht="30" customHeight="1">
      <c r="B12" s="5">
        <v>9</v>
      </c>
      <c r="C12" s="43" t="s">
        <v>59</v>
      </c>
      <c r="D12" s="2" t="s">
        <v>398</v>
      </c>
      <c r="E12" s="24" t="s">
        <v>394</v>
      </c>
      <c r="F12" s="40">
        <v>2</v>
      </c>
      <c r="G12" s="40">
        <v>2</v>
      </c>
      <c r="H12" s="24">
        <f t="shared" si="1"/>
        <v>1</v>
      </c>
      <c r="I12" s="24">
        <v>0</v>
      </c>
      <c r="J12" s="24" t="s">
        <v>396</v>
      </c>
      <c r="K12" s="3"/>
      <c r="L12" s="3"/>
      <c r="M12" s="3"/>
    </row>
    <row r="13" spans="2:13" ht="30" customHeight="1">
      <c r="B13" s="5">
        <v>10</v>
      </c>
      <c r="C13" s="43" t="s">
        <v>59</v>
      </c>
      <c r="D13" s="39" t="s">
        <v>409</v>
      </c>
      <c r="E13" s="24" t="s">
        <v>394</v>
      </c>
      <c r="F13" s="40">
        <v>2</v>
      </c>
      <c r="G13" s="40">
        <v>2</v>
      </c>
      <c r="H13" s="24">
        <f t="shared" ref="H13" si="2">G13-F13+1</f>
        <v>1</v>
      </c>
      <c r="I13" s="24">
        <v>0</v>
      </c>
      <c r="J13" s="24" t="s">
        <v>396</v>
      </c>
      <c r="K13" s="3"/>
      <c r="L13" s="3"/>
      <c r="M13" s="3"/>
    </row>
    <row r="14" spans="2:13" s="33" customFormat="1" ht="30" customHeight="1">
      <c r="B14" s="5">
        <v>11</v>
      </c>
      <c r="C14" s="43" t="s">
        <v>59</v>
      </c>
      <c r="D14" s="94" t="s">
        <v>410</v>
      </c>
      <c r="E14" s="24" t="s">
        <v>394</v>
      </c>
      <c r="F14" s="40">
        <v>2</v>
      </c>
      <c r="G14" s="40">
        <v>2</v>
      </c>
      <c r="H14" s="24">
        <f t="shared" si="1"/>
        <v>1</v>
      </c>
      <c r="I14" s="24">
        <v>0</v>
      </c>
      <c r="J14" s="24" t="s">
        <v>396</v>
      </c>
      <c r="K14" s="3"/>
      <c r="L14" s="3"/>
      <c r="M14" s="3"/>
    </row>
    <row r="15" spans="2:13" ht="30" customHeight="1">
      <c r="B15" s="5">
        <v>12</v>
      </c>
      <c r="C15" s="44" t="s">
        <v>60</v>
      </c>
      <c r="D15" s="3" t="s">
        <v>399</v>
      </c>
      <c r="E15" s="24" t="s">
        <v>394</v>
      </c>
      <c r="F15" s="40">
        <v>3</v>
      </c>
      <c r="G15" s="40">
        <v>3</v>
      </c>
      <c r="H15" s="24">
        <f t="shared" si="1"/>
        <v>1</v>
      </c>
      <c r="I15" s="24">
        <v>0</v>
      </c>
      <c r="J15" s="24" t="s">
        <v>396</v>
      </c>
      <c r="K15" s="3"/>
      <c r="L15" s="3"/>
      <c r="M15" s="3"/>
    </row>
    <row r="16" spans="2:13" ht="30" customHeight="1">
      <c r="B16" s="5">
        <v>13</v>
      </c>
      <c r="C16" s="45" t="s">
        <v>61</v>
      </c>
      <c r="D16" s="2" t="s">
        <v>400</v>
      </c>
      <c r="E16" s="24" t="s">
        <v>394</v>
      </c>
      <c r="F16" s="40">
        <v>3</v>
      </c>
      <c r="G16" s="40">
        <v>3</v>
      </c>
      <c r="H16" s="24">
        <f t="shared" si="1"/>
        <v>1</v>
      </c>
      <c r="I16" s="24">
        <v>0</v>
      </c>
      <c r="J16" s="24" t="s">
        <v>396</v>
      </c>
      <c r="K16" s="3"/>
      <c r="L16" s="3"/>
      <c r="M16" s="3"/>
    </row>
    <row r="17" spans="2:13" ht="30" customHeight="1">
      <c r="B17" s="5">
        <v>14</v>
      </c>
      <c r="C17" s="46" t="s">
        <v>62</v>
      </c>
      <c r="D17" s="2" t="s">
        <v>401</v>
      </c>
      <c r="E17" s="24" t="s">
        <v>394</v>
      </c>
      <c r="F17" s="40">
        <v>3</v>
      </c>
      <c r="G17" s="40">
        <v>3</v>
      </c>
      <c r="H17" s="24">
        <f t="shared" si="1"/>
        <v>1</v>
      </c>
      <c r="I17" s="24">
        <v>0</v>
      </c>
      <c r="J17" s="24" t="s">
        <v>396</v>
      </c>
      <c r="K17" s="3"/>
      <c r="L17" s="3"/>
      <c r="M17" s="3"/>
    </row>
    <row r="18" spans="2:13" ht="30" customHeight="1">
      <c r="B18" s="5">
        <v>15</v>
      </c>
      <c r="C18" s="47" t="s">
        <v>63</v>
      </c>
      <c r="D18" s="2" t="s">
        <v>402</v>
      </c>
      <c r="E18" s="24" t="s">
        <v>394</v>
      </c>
      <c r="F18" s="40">
        <v>3</v>
      </c>
      <c r="G18" s="40">
        <v>3</v>
      </c>
      <c r="H18" s="24">
        <f t="shared" si="1"/>
        <v>1</v>
      </c>
      <c r="I18" s="24">
        <v>0</v>
      </c>
      <c r="J18" s="24" t="s">
        <v>396</v>
      </c>
      <c r="K18" s="3"/>
      <c r="L18" s="3"/>
      <c r="M18" s="3"/>
    </row>
    <row r="19" spans="2:13" ht="30" customHeight="1"/>
    <row r="20" spans="2:13">
      <c r="B20" s="87" t="s">
        <v>135</v>
      </c>
      <c r="C20" s="88"/>
    </row>
    <row r="21" spans="2:13" ht="15" customHeight="1">
      <c r="B21" s="89" t="s">
        <v>57</v>
      </c>
      <c r="C21" s="90"/>
    </row>
    <row r="22" spans="2:13" ht="15" customHeight="1">
      <c r="B22" s="91" t="s">
        <v>58</v>
      </c>
      <c r="C22" s="92"/>
    </row>
    <row r="23" spans="2:13" ht="15" customHeight="1">
      <c r="B23" s="75" t="s">
        <v>59</v>
      </c>
      <c r="C23" s="76"/>
    </row>
    <row r="24" spans="2:13" ht="15" customHeight="1">
      <c r="B24" s="77" t="s">
        <v>60</v>
      </c>
      <c r="C24" s="78"/>
    </row>
    <row r="25" spans="2:13" ht="15" customHeight="1">
      <c r="B25" s="79" t="s">
        <v>61</v>
      </c>
      <c r="C25" s="80"/>
    </row>
    <row r="26" spans="2:13" ht="15" customHeight="1">
      <c r="B26" s="81" t="s">
        <v>62</v>
      </c>
      <c r="C26" s="82"/>
    </row>
    <row r="27" spans="2:13" ht="15" customHeight="1">
      <c r="B27" s="83" t="s">
        <v>63</v>
      </c>
      <c r="C27" s="84"/>
    </row>
    <row r="28" spans="2:13" ht="15" customHeight="1">
      <c r="B28" s="73" t="s">
        <v>64</v>
      </c>
      <c r="C28" s="74"/>
    </row>
    <row r="29" spans="2:13" ht="15" customHeight="1"/>
  </sheetData>
  <mergeCells count="11">
    <mergeCell ref="B3:M3"/>
    <mergeCell ref="B2:M2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17" type="noConversion"/>
  <conditionalFormatting sqref="K5:M18">
    <cfRule type="expression" dxfId="0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59" t="s">
        <v>65</v>
      </c>
      <c r="C2" s="60"/>
    </row>
    <row r="3" spans="2:3" ht="19.5" customHeight="1">
      <c r="B3" s="65" t="s">
        <v>66</v>
      </c>
      <c r="C3" s="51"/>
    </row>
    <row r="5" spans="2:3" ht="19.5" customHeight="1">
      <c r="B5" s="6" t="s">
        <v>67</v>
      </c>
      <c r="C5" s="6" t="s">
        <v>68</v>
      </c>
    </row>
    <row r="6" spans="2:3" ht="30" customHeight="1">
      <c r="B6" s="4" t="s">
        <v>69</v>
      </c>
      <c r="C6" s="2" t="s">
        <v>70</v>
      </c>
    </row>
    <row r="7" spans="2:3" ht="30" customHeight="1">
      <c r="B7" s="4" t="s">
        <v>71</v>
      </c>
      <c r="C7" s="2" t="s">
        <v>72</v>
      </c>
    </row>
    <row r="8" spans="2:3" ht="30" customHeight="1">
      <c r="B8" s="4" t="s">
        <v>73</v>
      </c>
      <c r="C8" s="2" t="s">
        <v>74</v>
      </c>
    </row>
    <row r="9" spans="2:3" ht="30" customHeight="1">
      <c r="B9" s="1" t="s">
        <v>75</v>
      </c>
      <c r="C9" s="2" t="s">
        <v>76</v>
      </c>
    </row>
    <row r="10" spans="2:3" ht="30" customHeight="1">
      <c r="B10" s="4" t="s">
        <v>77</v>
      </c>
      <c r="C10" s="2" t="s">
        <v>78</v>
      </c>
    </row>
    <row r="11" spans="2:3" ht="30" customHeight="1">
      <c r="B11" s="4" t="s">
        <v>79</v>
      </c>
      <c r="C11" s="2" t="s">
        <v>80</v>
      </c>
    </row>
    <row r="12" spans="2:3" ht="30" customHeight="1">
      <c r="B12" s="4" t="s">
        <v>81</v>
      </c>
      <c r="C12" s="2" t="s">
        <v>82</v>
      </c>
    </row>
    <row r="13" spans="2:3" ht="30" customHeight="1">
      <c r="B13" s="1" t="s">
        <v>83</v>
      </c>
      <c r="C13" s="2" t="s">
        <v>84</v>
      </c>
    </row>
    <row r="14" spans="2:3" ht="30" customHeight="1">
      <c r="B14" s="4" t="s">
        <v>85</v>
      </c>
      <c r="C14" s="2" t="s">
        <v>86</v>
      </c>
    </row>
    <row r="15" spans="2:3" ht="30" customHeight="1">
      <c r="B15" s="1" t="s">
        <v>87</v>
      </c>
      <c r="C15" s="2" t="s">
        <v>88</v>
      </c>
    </row>
    <row r="16" spans="2:3" ht="30" customHeight="1">
      <c r="B16" s="1" t="s">
        <v>89</v>
      </c>
      <c r="C16" s="2" t="s">
        <v>90</v>
      </c>
    </row>
    <row r="17" spans="2:3" ht="30" customHeight="1">
      <c r="B17" s="4" t="s">
        <v>91</v>
      </c>
      <c r="C17" s="2" t="s">
        <v>92</v>
      </c>
    </row>
    <row r="18" spans="2:3" ht="30" customHeight="1">
      <c r="B18" s="1" t="s">
        <v>93</v>
      </c>
      <c r="C18" s="2" t="s">
        <v>94</v>
      </c>
    </row>
    <row r="19" spans="2:3" ht="30" customHeight="1">
      <c r="B19" s="1" t="s">
        <v>95</v>
      </c>
      <c r="C19" s="2" t="s">
        <v>96</v>
      </c>
    </row>
    <row r="20" spans="2:3" ht="30" customHeight="1">
      <c r="B20" s="1" t="s">
        <v>97</v>
      </c>
      <c r="C20" s="2" t="s">
        <v>98</v>
      </c>
    </row>
    <row r="21" spans="2:3" ht="30" customHeight="1">
      <c r="B21" s="1" t="s">
        <v>99</v>
      </c>
      <c r="C21" s="3" t="s">
        <v>100</v>
      </c>
    </row>
    <row r="22" spans="2:3" ht="30" customHeight="1">
      <c r="B22" s="1" t="s">
        <v>101</v>
      </c>
      <c r="C22" s="2" t="s">
        <v>102</v>
      </c>
    </row>
    <row r="23" spans="2:3" ht="30" customHeight="1">
      <c r="B23" s="4" t="s">
        <v>103</v>
      </c>
      <c r="C23" s="2" t="s">
        <v>104</v>
      </c>
    </row>
    <row r="24" spans="2:3" ht="30" customHeight="1">
      <c r="B24" s="4" t="s">
        <v>105</v>
      </c>
      <c r="C24" s="2" t="s">
        <v>106</v>
      </c>
    </row>
    <row r="25" spans="2:3" ht="30" customHeight="1">
      <c r="B25" s="4" t="s">
        <v>107</v>
      </c>
      <c r="C25" s="2" t="s">
        <v>108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2026-07-14T08:16:56Z</dcterms:modified>
  <dc:language>en-US</dc:language>
</cp:coreProperties>
</file>